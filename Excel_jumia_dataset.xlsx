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hp\Documents\"/>
    </mc:Choice>
  </mc:AlternateContent>
  <xr:revisionPtr revIDLastSave="0" documentId="13_ncr:1_{4D82826C-B5CB-4D16-BDD3-9E4DD7AB8DE8}" xr6:coauthVersionLast="47" xr6:coauthVersionMax="47" xr10:uidLastSave="{00000000-0000-0000-0000-000000000000}"/>
  <bookViews>
    <workbookView xWindow="-110" yWindow="-110" windowWidth="19420" windowHeight="10300" activeTab="3" xr2:uid="{21E4546C-1C55-4A68-8696-80D8A0264F01}"/>
  </bookViews>
  <sheets>
    <sheet name="Raw data" sheetId="4" r:id="rId1"/>
    <sheet name="Clean data" sheetId="1" r:id="rId2"/>
    <sheet name="pivot tables" sheetId="2" r:id="rId3"/>
    <sheet name="Dashboard" sheetId="5" r:id="rId4"/>
  </sheets>
  <definedNames>
    <definedName name="Slicer_Discount_category">#N/A</definedName>
    <definedName name="Slicer_price_category">#N/A</definedName>
    <definedName name="Slicer_Rating_category">#N/A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I3"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2"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3" i="1"/>
  <c r="H4" i="1"/>
  <c r="H5" i="1"/>
  <c r="H6" i="1"/>
  <c r="H7" i="1"/>
  <c r="H8" i="1"/>
  <c r="H9" i="1"/>
  <c r="H10" i="1"/>
  <c r="H11" i="1"/>
  <c r="H12" i="1"/>
  <c r="H13" i="1"/>
  <c r="H14" i="1"/>
  <c r="H15" i="1"/>
  <c r="H16" i="1"/>
  <c r="H17" i="1"/>
  <c r="H18" i="1"/>
  <c r="H19" i="1"/>
  <c r="H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2" i="1"/>
</calcChain>
</file>

<file path=xl/sharedStrings.xml><?xml version="1.0" encoding="utf-8"?>
<sst xmlns="http://schemas.openxmlformats.org/spreadsheetml/2006/main" count="594" uniqueCount="345">
  <si>
    <t>Product</t>
  </si>
  <si>
    <t>Current price</t>
  </si>
  <si>
    <t>old price</t>
  </si>
  <si>
    <t>Discount</t>
  </si>
  <si>
    <t>Review</t>
  </si>
  <si>
    <t>Ratingd</t>
  </si>
  <si>
    <t>115  Piece Set Of Multifunctional Precision Screwdrivers</t>
  </si>
  <si>
    <t>KSh 950</t>
  </si>
  <si>
    <t>KSh 1,525</t>
  </si>
  <si>
    <t>4.5 out of 5</t>
  </si>
  <si>
    <t>Metal Decorative Hooks Key Hangers Entryway Wall Hooks Towel Hooks - Home</t>
  </si>
  <si>
    <t>KSh 527</t>
  </si>
  <si>
    <t>KSh 999</t>
  </si>
  <si>
    <t>4.1 out of 5</t>
  </si>
  <si>
    <t>Portable Mini Cordless Car Vacuum Cleaner - Blue</t>
  </si>
  <si>
    <t>KSh 2,199</t>
  </si>
  <si>
    <t>KSh 2,923</t>
  </si>
  <si>
    <t>4.6 out of 5</t>
  </si>
  <si>
    <t>Weighing Scale Digital Bathroom Body Fat Scale USB-Black</t>
  </si>
  <si>
    <t>KSh 1,580</t>
  </si>
  <si>
    <t>KSh 2,499</t>
  </si>
  <si>
    <t>4.7 out of 5</t>
  </si>
  <si>
    <t>Portable Home Small Air Humidifier 3-Speed Fan - Green</t>
  </si>
  <si>
    <t>KSh 1,740</t>
  </si>
  <si>
    <t>KSh 2,356</t>
  </si>
  <si>
    <t>4.8 out of 5</t>
  </si>
  <si>
    <t>220V 60W Electric Soldering Iron Kits With Tools, Tips, And Multimeter</t>
  </si>
  <si>
    <t>KSh 2,999</t>
  </si>
  <si>
    <t>KSh 3,290</t>
  </si>
  <si>
    <t>4 out of 5</t>
  </si>
  <si>
    <t>137 Pieces Cake Decorating Tool Set Baking Supplies</t>
  </si>
  <si>
    <t>KSh 2,319</t>
  </si>
  <si>
    <t>KSh 3,032</t>
  </si>
  <si>
    <t>Desk Foldable Fan Adjustable Fan Strong Wind 3 Gear Usb</t>
  </si>
  <si>
    <t>KSh 988</t>
  </si>
  <si>
    <t>LASA FOLDING TABLE SERVING STAND</t>
  </si>
  <si>
    <t>KSh 1,274</t>
  </si>
  <si>
    <t>KSh 2,800</t>
  </si>
  <si>
    <t>13 In 1 Home Repair Tools Box Kit Set</t>
  </si>
  <si>
    <t>KSh 1,600</t>
  </si>
  <si>
    <t>KSh 2,929</t>
  </si>
  <si>
    <t>3.8 out of 5</t>
  </si>
  <si>
    <t>Genebre 115 In 1 Screwdriver Repairing Tool Set For IPhone Cellphone Hand Tool</t>
  </si>
  <si>
    <t>KSh 799</t>
  </si>
  <si>
    <t>100 Pcs Crochet Hook Tool Set Knitting Hook Set With Box</t>
  </si>
  <si>
    <t>KSh 990</t>
  </si>
  <si>
    <t>KSh 1,500</t>
  </si>
  <si>
    <t>40cm Gold DIY Acrylic Wall Sticker Clock</t>
  </si>
  <si>
    <t>KSh 552</t>
  </si>
  <si>
    <t>KSh 1,035</t>
  </si>
  <si>
    <t>LASA Digital Thermometer And Hydrometer</t>
  </si>
  <si>
    <t>KSh 501</t>
  </si>
  <si>
    <t>KSh 860</t>
  </si>
  <si>
    <t>Multifunction Laser Level With Adjustment Tripod</t>
  </si>
  <si>
    <t>KSh 1,680</t>
  </si>
  <si>
    <t>4.2 out of 5</t>
  </si>
  <si>
    <t>Anti-Skid Absorbent Insulation Coaster  For Home Office</t>
  </si>
  <si>
    <t>KSh 332</t>
  </si>
  <si>
    <t>KSh 684</t>
  </si>
  <si>
    <t>5 out of 5</t>
  </si>
  <si>
    <t>Peacock  Throw Pillow Cushion Case For Home Car</t>
  </si>
  <si>
    <t>KSh 195</t>
  </si>
  <si>
    <t>KSh 360</t>
  </si>
  <si>
    <t>LASA Aluminum Folding Truck Hand Cart - 68kg Max</t>
  </si>
  <si>
    <t>KSh 2,025</t>
  </si>
  <si>
    <t>KSh 3,971</t>
  </si>
  <si>
    <t>LED Wall Digital Alarm Clock Study Home 12 / 24H Clock Calendar</t>
  </si>
  <si>
    <t>KSh 3,699</t>
  </si>
  <si>
    <t>3D Waterproof EVA Plastic Shower Curtain 1.8*2Mtrs</t>
  </si>
  <si>
    <t>KSh 998</t>
  </si>
  <si>
    <t>KSh 1,966</t>
  </si>
  <si>
    <t>3PCS Single Head Knitting Crochet Sweater Needle Set</t>
  </si>
  <si>
    <t>KSh 38</t>
  </si>
  <si>
    <t>KSh 80</t>
  </si>
  <si>
    <t>3.3 out of 5</t>
  </si>
  <si>
    <t>4pcs Bathroom/Kitchen Towel Rack,Roll Paper Holder,Towel Bars,Hook</t>
  </si>
  <si>
    <t>KSh 1,860</t>
  </si>
  <si>
    <t>KSh 3,220</t>
  </si>
  <si>
    <t>LED Romantic Spaceship Starry Sky Projector,Children's Bedroom Night Light-Blue</t>
  </si>
  <si>
    <t>KSh 880</t>
  </si>
  <si>
    <t>KSh 1,350</t>
  </si>
  <si>
    <t>Foldable Overbed Table/Desk</t>
  </si>
  <si>
    <t>KSh 1,650</t>
  </si>
  <si>
    <t>KSh 2,150</t>
  </si>
  <si>
    <t>4.4 out of 5</t>
  </si>
  <si>
    <t>LASA 3 Tier Bamboo Shoe Bench Storage Shelf</t>
  </si>
  <si>
    <t>KSh 2,048</t>
  </si>
  <si>
    <t>KSh 4,500</t>
  </si>
  <si>
    <t>4.3 out of 5</t>
  </si>
  <si>
    <t>Electronic Digital Display Vernier Caliper</t>
  </si>
  <si>
    <t>KSh 420</t>
  </si>
  <si>
    <t>KSh 647</t>
  </si>
  <si>
    <t>Portable Wardrobe Nonwoven With 3 Hanging Rods And 6 Storage Shelves</t>
  </si>
  <si>
    <t>KSh 2,880</t>
  </si>
  <si>
    <t>KSh 3,520</t>
  </si>
  <si>
    <t>12 Litre Black Insulated Lunch Box</t>
  </si>
  <si>
    <t>KSh 1,990</t>
  </si>
  <si>
    <t>52 Pieces Cake Decorating Tool Set Gift Kit Baking Supplies</t>
  </si>
  <si>
    <t>KSh 1,758</t>
  </si>
  <si>
    <t>MultiFunctional Storage Rack Multi-layer Bookshelf</t>
  </si>
  <si>
    <t>KSh 2,200</t>
  </si>
  <si>
    <t>KSh 4,080</t>
  </si>
  <si>
    <t>Exfoliate And Exfoliate Face Towel - Black</t>
  </si>
  <si>
    <t>KSh 185</t>
  </si>
  <si>
    <t>KSh 382</t>
  </si>
  <si>
    <t>12 Litre Insulated Lunch Box Grey</t>
  </si>
  <si>
    <t>KSh 980</t>
  </si>
  <si>
    <t>KSh 1,490</t>
  </si>
  <si>
    <t>LED Eye Protection  Desk Lamp , Study, Reading, USB Fan - Double Pen Holder</t>
  </si>
  <si>
    <t>KSh 1,820</t>
  </si>
  <si>
    <t>KSh 3,490</t>
  </si>
  <si>
    <t>53Pcs/Set Yarn Knitting Crochet Hooks With Bag - Fortune Cat</t>
  </si>
  <si>
    <t>KSh 1,940</t>
  </si>
  <si>
    <t>KSh 2,650</t>
  </si>
  <si>
    <t>53 Pieces/Set Yarn Knitting Crochet Hooks With Bag - Pansies</t>
  </si>
  <si>
    <t>KSh 1,980</t>
  </si>
  <si>
    <t>KSh 2,699</t>
  </si>
  <si>
    <t>DIY File Folder, Office Drawer File Holder, Pen Holder, Desktop Storage Rack</t>
  </si>
  <si>
    <t>KSh 1,620</t>
  </si>
  <si>
    <t>KSh 2,690</t>
  </si>
  <si>
    <t>Classic Black Cat Cotton Hemp Pillow Case For Home Car</t>
  </si>
  <si>
    <t>KSh 171</t>
  </si>
  <si>
    <t>Punch-free Great Load Bearing Bathroom Storage Rack Wall Shelf-White</t>
  </si>
  <si>
    <t>KSh 389</t>
  </si>
  <si>
    <t>KSh 656</t>
  </si>
  <si>
    <t>1/2/3 Seater Elastic Sofa Cover,Living Room/Home Decor Chair Cover-Grey</t>
  </si>
  <si>
    <t>KSh 1,620 - KSh 1,980</t>
  </si>
  <si>
    <t>KSh 2,200 - KSh 3,200</t>
  </si>
  <si>
    <t>LASA Stainless Steel Double Wall Mount Soap Dispenser - 500ml</t>
  </si>
  <si>
    <t>KSh 2,750</t>
  </si>
  <si>
    <t>KSh 4,471</t>
  </si>
  <si>
    <t>4M Float Switch Water Level Controller -Water Tank</t>
  </si>
  <si>
    <t>KSh 475</t>
  </si>
  <si>
    <t>KSh 931</t>
  </si>
  <si>
    <t>Modern Sofa Throw Pillow Cover-45x45cm-Blue&amp;Red</t>
  </si>
  <si>
    <t>KSh 238</t>
  </si>
  <si>
    <t>KSh 476</t>
  </si>
  <si>
    <t>Balloon Insert, Birthday Party Balloon Set, PU Leather</t>
  </si>
  <si>
    <t>KSh 610</t>
  </si>
  <si>
    <t>KSh 1,060</t>
  </si>
  <si>
    <t>Shower Cap Wide Elastic Band Cover Reusable Bashroom Cap</t>
  </si>
  <si>
    <t>KSh 2,132</t>
  </si>
  <si>
    <t>KSh 2,169</t>
  </si>
  <si>
    <t>Christmas Elk Fence Yard Lawn Decorations Cute For Holidays</t>
  </si>
  <si>
    <t>KSh 2,000</t>
  </si>
  <si>
    <t>60W Hot Melt Glue Sprayer - Efficient And Stable Glue Dispensing</t>
  </si>
  <si>
    <t>KSh 1,190</t>
  </si>
  <si>
    <t>KSh 1,785</t>
  </si>
  <si>
    <t>Car Phone Charging Stand</t>
  </si>
  <si>
    <t>KSh 671</t>
  </si>
  <si>
    <t>KSh 1,316</t>
  </si>
  <si>
    <t>2pcs Solar Street Light Flood Light Outdoor</t>
  </si>
  <si>
    <t>KSh 1,200</t>
  </si>
  <si>
    <t>KSh 1,950</t>
  </si>
  <si>
    <t>Creative Owl Shape Keychain Black</t>
  </si>
  <si>
    <t>KSh 199</t>
  </si>
  <si>
    <t>KSh 504</t>
  </si>
  <si>
    <t>Brush &amp; Paintbrush Cleaning Tool Pink</t>
  </si>
  <si>
    <t>KSh 299</t>
  </si>
  <si>
    <t>KSh 600</t>
  </si>
  <si>
    <t>Pen Grips For Kids Pen Grip Posture Correction Tool For Kids</t>
  </si>
  <si>
    <t>KSh 1,660</t>
  </si>
  <si>
    <t>KSh 1,699</t>
  </si>
  <si>
    <t>Pilates Cloth Bag Waterproof Durable High Capacity Purple</t>
  </si>
  <si>
    <t>KSh 384</t>
  </si>
  <si>
    <t>Multi-purpose Rice Drainage Basket And Fruit And Vegetable Drainage Sieve</t>
  </si>
  <si>
    <t>KSh 1,459</t>
  </si>
  <si>
    <t>KSh 1,499</t>
  </si>
  <si>
    <t>Cute Christmas Fence Garden Decorations For Holiday Home</t>
  </si>
  <si>
    <t>KSh 1,343</t>
  </si>
  <si>
    <t>Simple Metal Dog Art Sculpture Decoration For Home Office</t>
  </si>
  <si>
    <t>KSh 499</t>
  </si>
  <si>
    <t>KSh 900</t>
  </si>
  <si>
    <t>Christmas Fence Garden Decorations Outdoor For Holiday Home</t>
  </si>
  <si>
    <t>KSh 699</t>
  </si>
  <si>
    <t>Angle Measuring Tool Full Metal Multi Angle Measuring Tool</t>
  </si>
  <si>
    <t>KSh 1,567</t>
  </si>
  <si>
    <t>12V 19500rpm Handheld Electric Angle Grinder Tool - UK - Yellow/Black</t>
  </si>
  <si>
    <t>KSh 2,799</t>
  </si>
  <si>
    <t>KSh 3,810</t>
  </si>
  <si>
    <t>KSh 399</t>
  </si>
  <si>
    <t>KSh 896</t>
  </si>
  <si>
    <t>5 Pieces/set Of Stainless Steel Induction Cooker Pots</t>
  </si>
  <si>
    <t>KSh 2,170</t>
  </si>
  <si>
    <t>KSh 2,500</t>
  </si>
  <si>
    <t>2.5 out of 5</t>
  </si>
  <si>
    <t>Mythco 120COB Solar Wall Ligt With Motion Sensor And Remote Control 3 Modes</t>
  </si>
  <si>
    <t>KSh 458</t>
  </si>
  <si>
    <t>KSh 986</t>
  </si>
  <si>
    <t>3 out of 5</t>
  </si>
  <si>
    <t>5-PCS Stainless Steel Cooking Pot Set With Steamed Slices</t>
  </si>
  <si>
    <t>KSh 2,115</t>
  </si>
  <si>
    <t>KSh 4,700</t>
  </si>
  <si>
    <t>2.1 out of 5</t>
  </si>
  <si>
    <t>120W Cordless Vacuum Cleaners Handheld Electric Vacuum Cleaner</t>
  </si>
  <si>
    <t>KSh 445</t>
  </si>
  <si>
    <t>KSh 873</t>
  </si>
  <si>
    <t>2.8 out of 5</t>
  </si>
  <si>
    <t>Intelligent  LED Body Sensor Wireless Lighting Night Light USB</t>
  </si>
  <si>
    <t>KSh 325</t>
  </si>
  <si>
    <t>KSh 680</t>
  </si>
  <si>
    <t>2.7 out of 5</t>
  </si>
  <si>
    <t>VIC Wireless Vacuum Cleaner Dual Use For Home And Car 120W High Power Powerful</t>
  </si>
  <si>
    <t>KSh 1,220</t>
  </si>
  <si>
    <t>KSh 1,555</t>
  </si>
  <si>
    <t>2.9 out of 5</t>
  </si>
  <si>
    <t>Artificial Potted Flowers Room Decorative Flowers (2 Pieces)</t>
  </si>
  <si>
    <t>KSh 1,814</t>
  </si>
  <si>
    <t>2.2 out of 5</t>
  </si>
  <si>
    <t>380ML USB Rechargeable Portable Small Blenders And Juicers</t>
  </si>
  <si>
    <t>KSh 1,000</t>
  </si>
  <si>
    <t>2.3 out of 5</t>
  </si>
  <si>
    <t>32PCS Portable Cordless Drill Set With Cyclic Battery Drive -26 Variable Speed</t>
  </si>
  <si>
    <t>KSh 3,750</t>
  </si>
  <si>
    <t>KSh 6,143</t>
  </si>
  <si>
    <t>Agapeon Toothbrush Holder And Toothpaste Dispenser</t>
  </si>
  <si>
    <t>KSh 700</t>
  </si>
  <si>
    <t>2.6 out of 5</t>
  </si>
  <si>
    <t>Large Lazy Inflatable Sofa Chairs PVC Lounger Seat Bag</t>
  </si>
  <si>
    <t>KSh 2,300</t>
  </si>
  <si>
    <t>KSh 3,240</t>
  </si>
  <si>
    <t>Watercolour Gold Foil Textured Print Pillow Cover</t>
  </si>
  <si>
    <t>KSh 345</t>
  </si>
  <si>
    <t>KSh 602</t>
  </si>
  <si>
    <t>Wrought Iron Bathroom Shelf Wall Mounted Free Punch Toilet Rack</t>
  </si>
  <si>
    <t>KSh 509</t>
  </si>
  <si>
    <t>KSh 899</t>
  </si>
  <si>
    <t>7-piece Set Of Storage Bags, Travel Storage Bags, Shoe Bags</t>
  </si>
  <si>
    <t>KSh 968</t>
  </si>
  <si>
    <t>Electric LED UV Mosquito Killer Lamp, Outdoor/Indoor Fly Killer Trap Light -USB</t>
  </si>
  <si>
    <t>KSh 1,570</t>
  </si>
  <si>
    <t>KSh 2,988</t>
  </si>
  <si>
    <t>2PCS/LOT Solar LED Outdoor Intelligent Light Controlled Wall Lamp</t>
  </si>
  <si>
    <t>KSh 790</t>
  </si>
  <si>
    <t>KSh 1,485</t>
  </si>
  <si>
    <t>3PCS Rotary Scraper Thermomix For Kitchen</t>
  </si>
  <si>
    <t>KSh 690</t>
  </si>
  <si>
    <t>Cushion Silicone Butt Cushion Summer Ice Cushion Honeycomb Gel Cushion</t>
  </si>
  <si>
    <t>KSh 1,732</t>
  </si>
  <si>
    <t>KSh 1,799</t>
  </si>
  <si>
    <t>7PCS Silicone Thumb Knife Finger Protector Vegetable Harvesting Knife</t>
  </si>
  <si>
    <t>KSh 230</t>
  </si>
  <si>
    <t>KSh 450</t>
  </si>
  <si>
    <t>Memory Foam Neck Pillow Cover, With Pillow Core - 50*30cm</t>
  </si>
  <si>
    <t>KSh 1,189</t>
  </si>
  <si>
    <t>Bedroom Simple Floor Hanging Clothes Rack Single Pole Hat Rack - White</t>
  </si>
  <si>
    <t>KSh 979</t>
  </si>
  <si>
    <t>KSh 1,920</t>
  </si>
  <si>
    <t>5m Waterproof Spherical LED String Lights Outdoor Ball Chain Lights Party Lighting Decoration Adjustable</t>
  </si>
  <si>
    <t>KSh 1,460</t>
  </si>
  <si>
    <t>KSh 2,290</t>
  </si>
  <si>
    <t>2 Pairs Cowhide Split Leather Work Gloves.32â„‰ Or Above Welding Gloves</t>
  </si>
  <si>
    <t>KSh 1,666</t>
  </si>
  <si>
    <t>Household Pineapple Peeler Peeler</t>
  </si>
  <si>
    <t>KSh 330</t>
  </si>
  <si>
    <t>KSh 176</t>
  </si>
  <si>
    <t>Office Chair Lumbar Back Support Spine Posture Correction Pillow Car Cushion</t>
  </si>
  <si>
    <t>KSh 1,466</t>
  </si>
  <si>
    <t>Cartoon Car Decoration Cute Individuality For Car Home Desk</t>
  </si>
  <si>
    <t>KSh 274</t>
  </si>
  <si>
    <t>KSh 537</t>
  </si>
  <si>
    <t>Outdoor Portable Water Bottle With Medicine Box - 600ML - Black</t>
  </si>
  <si>
    <t>KSh 657</t>
  </si>
  <si>
    <t>KSh 1,288</t>
  </si>
  <si>
    <t>Wall-Mounted Toothbrush Toothpaste Holder With Multiple Slots</t>
  </si>
  <si>
    <t>KSh 1,468</t>
  </si>
  <si>
    <t>Multifunctional Hanging Storage Box Storage Bag (4 Layers)</t>
  </si>
  <si>
    <t>KSh 630</t>
  </si>
  <si>
    <t>KSh 1,100</t>
  </si>
  <si>
    <t>Wall Clock With Hidden Safe Box</t>
  </si>
  <si>
    <t>KSh 850</t>
  </si>
  <si>
    <t>KSh 1,700</t>
  </si>
  <si>
    <t>Portable Wine Table With Folding Round Table</t>
  </si>
  <si>
    <t>KSh 1,300</t>
  </si>
  <si>
    <t>Sewing Machine Needle Threader Stitch Insertion Tool Automatic Quick Sewing</t>
  </si>
  <si>
    <t>KSh 105</t>
  </si>
  <si>
    <t>KSh 200</t>
  </si>
  <si>
    <t>6 Layers Steel Pipe Assembling Dustproof Storage Shoe Cabinet</t>
  </si>
  <si>
    <t>2PCS Ice Silk Square Cushion Cover Pillowcases - 65x65cm</t>
  </si>
  <si>
    <t>KSh 2,400</t>
  </si>
  <si>
    <t>Wall Mount Automatic Toothpaste Dispenser Toothbrush Holder Toothpaste Squeezer</t>
  </si>
  <si>
    <t>KSh 1,526</t>
  </si>
  <si>
    <t>Portable Soap Dispenser Kitchen Detergent Press Box Kitchen Tools</t>
  </si>
  <si>
    <t>KSh 1,462</t>
  </si>
  <si>
    <t>4 Piece Coloured Stainless Steel Kitchenware Set</t>
  </si>
  <si>
    <t>KSh 248</t>
  </si>
  <si>
    <t>KSh 486</t>
  </si>
  <si>
    <t>Metal Wall Clock Silver Dial Crystal Jewelry Round Home Decoration Wall Clock</t>
  </si>
  <si>
    <t>KSh 3,546</t>
  </si>
  <si>
    <t>Baby Early Education Shape And Color Cognitive Training Toys</t>
  </si>
  <si>
    <t>KSh 525</t>
  </si>
  <si>
    <t>KSh 1,029</t>
  </si>
  <si>
    <t>8in1 Screwdriver With LED Light</t>
  </si>
  <si>
    <t>KSh 1,080</t>
  </si>
  <si>
    <t>KSh 1,874</t>
  </si>
  <si>
    <t>Konka Healty Electric Kettle, 24-hour Heat Preservation,1.5L,800W, White</t>
  </si>
  <si>
    <t>KSh 3,640</t>
  </si>
  <si>
    <t>KSh 4,588</t>
  </si>
  <si>
    <t>9pcs Gas Mask, For Painting, Dust, Formaldehyde Grinding, Polishing</t>
  </si>
  <si>
    <t>KSh 1,420</t>
  </si>
  <si>
    <t>KSh 2,420</t>
  </si>
  <si>
    <t>24 Grid Wall-mounted Sundries Organiser Fabric Closet Bag Storage Rack</t>
  </si>
  <si>
    <t>KSh 1,875</t>
  </si>
  <si>
    <t>KSh 1,899</t>
  </si>
  <si>
    <t>1PC Refrigerator Food Seal Pocket Fridge Bags</t>
  </si>
  <si>
    <t>KSh 198</t>
  </si>
  <si>
    <t>KSh 260</t>
  </si>
  <si>
    <t>LED Solar Street Light-fake Camera</t>
  </si>
  <si>
    <t>KSh 1,150</t>
  </si>
  <si>
    <t>KSh 1,737</t>
  </si>
  <si>
    <t>Cartoon Embroidered Mini Towel Bear Cotton Wash Cloth Hand 4pcs</t>
  </si>
  <si>
    <t>KSh 1,810</t>
  </si>
  <si>
    <t>Shower Nozzle Cleaning Unclogging Needle Mini Crevice Small Hole Cleaning Brush</t>
  </si>
  <si>
    <t>KSh 1,658</t>
  </si>
  <si>
    <t>Thickening Multipurpose Non Stick Easy To Clean Heat Resistant Spoon Pad</t>
  </si>
  <si>
    <t>KSh 1,768</t>
  </si>
  <si>
    <t>6 In 1 Bottle Can Opener Multifunctional Easy Opener</t>
  </si>
  <si>
    <t>KSh 553</t>
  </si>
  <si>
    <t>Wall-mounted Sticker Punch-free Plug Fixer</t>
  </si>
  <si>
    <t>2 out of 5</t>
  </si>
  <si>
    <t>Black Simple Water Cup Wine Coaster Anti Slip Absorbent</t>
  </si>
  <si>
    <t>KSh 169</t>
  </si>
  <si>
    <t>KSh 320</t>
  </si>
  <si>
    <t xml:space="preserve">Ratings </t>
  </si>
  <si>
    <t>Discount_amount</t>
  </si>
  <si>
    <t>Rating_category</t>
  </si>
  <si>
    <t>Discount_category</t>
  </si>
  <si>
    <t>price_category</t>
  </si>
  <si>
    <t>Sum of Current price</t>
  </si>
  <si>
    <t>Average of Current price</t>
  </si>
  <si>
    <t>Average of Discount</t>
  </si>
  <si>
    <t xml:space="preserve">Sum of Ratings </t>
  </si>
  <si>
    <t xml:space="preserve">Average of Ratings </t>
  </si>
  <si>
    <t>Count of Product</t>
  </si>
  <si>
    <t>Sum of Review</t>
  </si>
  <si>
    <t>High above</t>
  </si>
  <si>
    <t>Low below</t>
  </si>
  <si>
    <t>Medium</t>
  </si>
  <si>
    <t>Average</t>
  </si>
  <si>
    <t>below</t>
  </si>
  <si>
    <t>Excellent</t>
  </si>
  <si>
    <t>top product</t>
  </si>
  <si>
    <t>bottom product</t>
  </si>
  <si>
    <t>Cheap</t>
  </si>
  <si>
    <t>Expensive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</si>
</sst>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3499862666707357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9" fontId="0" fillId="0" borderId="0" xfId="0" applyNumberFormat="1"/>
    <xf numFmtId="2" fontId="0" fillId="0" borderId="0" xfId="0" applyNumberFormat="1"/>
    <xf numFmtId="164" fontId="0" fillId="0" borderId="0" xfId="0" applyNumberFormat="1"/>
    <xf numFmtId="1" fontId="0" fillId="0" borderId="0" xfId="0" applyNumberFormat="1"/>
    <xf numFmtId="9" fontId="0" fillId="0" borderId="0" xfId="1" applyFont="1"/>
    <xf numFmtId="0" fontId="0" fillId="0" borderId="0" xfId="0" pivotButton="1"/>
    <xf numFmtId="0" fontId="0" fillId="33" borderId="0" xfId="0" applyFill="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1">
    <dxf>
      <numFmt numFmtId="13" formatCode="0%"/>
    </dxf>
    <dxf>
      <numFmt numFmtId="164" formatCode="0.0"/>
    </dxf>
    <dxf>
      <numFmt numFmtId="164" formatCode="0.0"/>
    </dxf>
    <dxf>
      <numFmt numFmtId="164" formatCode="0.0"/>
    </dxf>
    <dxf>
      <numFmt numFmtId="1" formatCode="0"/>
    </dxf>
    <dxf>
      <numFmt numFmtId="1" formatCode="0"/>
    </dxf>
    <dxf>
      <numFmt numFmtId="164" formatCode="0.0"/>
    </dxf>
    <dxf>
      <numFmt numFmtId="164" formatCode="0.0"/>
    </dxf>
    <dxf>
      <numFmt numFmtId="2" formatCode="0.00"/>
    </dxf>
    <dxf>
      <numFmt numFmtId="1" formatCode="0"/>
    </dxf>
    <dxf>
      <numFmt numFmtId="1" formatCode="0"/>
    </dxf>
  </dxfs>
  <tableStyles count="0" defaultTableStyle="TableStyleMedium2" defaultPivotStyle="PivotStyleLight16"/>
  <colors>
    <mruColors>
      <color rgb="FF33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[Excel_jumia_dataset.xlsx]pivot tables!PivotTable10</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13648293963254E-2"/>
          <c:y val="0.11013048421967114"/>
          <c:w val="0.90286351706036749"/>
          <c:h val="0.80561833081837964"/>
        </c:manualLayout>
      </c:layout>
      <c:barChart>
        <c:barDir val="col"/>
        <c:grouping val="clustered"/>
        <c:varyColors val="0"/>
        <c:ser>
          <c:idx val="0"/>
          <c:order val="0"/>
          <c:tx>
            <c:strRef>
              <c:f>'pivot tables'!$E$8</c:f>
              <c:strCache>
                <c:ptCount val="1"/>
                <c:pt idx="0">
                  <c:v>Total</c:v>
                </c:pt>
              </c:strCache>
            </c:strRef>
          </c:tx>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tables'!$D$9:$D$11</c:f>
              <c:strCache>
                <c:ptCount val="3"/>
                <c:pt idx="0">
                  <c:v>below</c:v>
                </c:pt>
                <c:pt idx="1">
                  <c:v>Excellent</c:v>
                </c:pt>
                <c:pt idx="2">
                  <c:v>Average</c:v>
                </c:pt>
              </c:strCache>
            </c:strRef>
          </c:cat>
          <c:val>
            <c:numRef>
              <c:f>'pivot tables'!$E$9:$E$11</c:f>
              <c:numCache>
                <c:formatCode>0</c:formatCode>
                <c:ptCount val="3"/>
                <c:pt idx="0">
                  <c:v>67</c:v>
                </c:pt>
                <c:pt idx="1">
                  <c:v>23</c:v>
                </c:pt>
                <c:pt idx="2">
                  <c:v>22</c:v>
                </c:pt>
              </c:numCache>
            </c:numRef>
          </c:val>
          <c:extLst>
            <c:ext xmlns:c16="http://schemas.microsoft.com/office/drawing/2014/chart" uri="{C3380CC4-5D6E-409C-BE32-E72D297353CC}">
              <c16:uniqueId val="{00000000-BF8E-411C-8383-444E07D8ECC0}"/>
            </c:ext>
          </c:extLst>
        </c:ser>
        <c:dLbls>
          <c:showLegendKey val="0"/>
          <c:showVal val="0"/>
          <c:showCatName val="0"/>
          <c:showSerName val="0"/>
          <c:showPercent val="0"/>
          <c:showBubbleSize val="0"/>
        </c:dLbls>
        <c:gapWidth val="219"/>
        <c:overlap val="-27"/>
        <c:axId val="1976048272"/>
        <c:axId val="1976019472"/>
      </c:barChart>
      <c:catAx>
        <c:axId val="197604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6019472"/>
        <c:crosses val="autoZero"/>
        <c:auto val="1"/>
        <c:lblAlgn val="ctr"/>
        <c:lblOffset val="100"/>
        <c:noMultiLvlLbl val="0"/>
      </c:catAx>
      <c:valAx>
        <c:axId val="197601947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6048272"/>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[Excel_jumia_dataset.xlsx]pivot tables!PivotTable11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tables'!$E$14</c:f>
              <c:strCache>
                <c:ptCount val="1"/>
                <c:pt idx="0">
                  <c:v>Total</c:v>
                </c:pt>
              </c:strCache>
            </c:strRef>
          </c:tx>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tables'!$D$15:$D$17</c:f>
              <c:strCache>
                <c:ptCount val="3"/>
                <c:pt idx="0">
                  <c:v>High above</c:v>
                </c:pt>
                <c:pt idx="1">
                  <c:v>Low below</c:v>
                </c:pt>
                <c:pt idx="2">
                  <c:v>Medium</c:v>
                </c:pt>
              </c:strCache>
            </c:strRef>
          </c:cat>
          <c:val>
            <c:numRef>
              <c:f>'pivot tables'!$E$15:$E$17</c:f>
              <c:numCache>
                <c:formatCode>0.0</c:formatCode>
                <c:ptCount val="3"/>
                <c:pt idx="0">
                  <c:v>62</c:v>
                </c:pt>
                <c:pt idx="1">
                  <c:v>18</c:v>
                </c:pt>
                <c:pt idx="2">
                  <c:v>32</c:v>
                </c:pt>
              </c:numCache>
            </c:numRef>
          </c:val>
          <c:extLst>
            <c:ext xmlns:c16="http://schemas.microsoft.com/office/drawing/2014/chart" uri="{C3380CC4-5D6E-409C-BE32-E72D297353CC}">
              <c16:uniqueId val="{00000000-5702-46C1-BF00-85127110CB36}"/>
            </c:ext>
          </c:extLst>
        </c:ser>
        <c:dLbls>
          <c:showLegendKey val="0"/>
          <c:showVal val="0"/>
          <c:showCatName val="0"/>
          <c:showSerName val="0"/>
          <c:showPercent val="0"/>
          <c:showBubbleSize val="0"/>
        </c:dLbls>
        <c:gapWidth val="182"/>
        <c:axId val="87283568"/>
        <c:axId val="87285008"/>
      </c:barChart>
      <c:catAx>
        <c:axId val="87283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85008"/>
        <c:crosses val="autoZero"/>
        <c:auto val="1"/>
        <c:lblAlgn val="ctr"/>
        <c:lblOffset val="100"/>
        <c:noMultiLvlLbl val="0"/>
      </c:catAx>
      <c:valAx>
        <c:axId val="87285008"/>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83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[Excel_jumia_dataset.xlsx]pivot tables!PivotTable5</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ivotFmt>
      <c:pivotFmt>
        <c:idx val="4"/>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ivotFmt>
      <c:pivotFmt>
        <c:idx val="5"/>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ivotFmt>
    </c:pivotFmts>
    <c:plotArea>
      <c:layout>
        <c:manualLayout>
          <c:layoutTarget val="inner"/>
          <c:xMode val="edge"/>
          <c:yMode val="edge"/>
          <c:x val="0.1478173665791776"/>
          <c:y val="5.0925925925925923E-2"/>
          <c:w val="0.8050299650043744"/>
          <c:h val="0.8416746864975212"/>
        </c:manualLayout>
      </c:layout>
      <c:barChart>
        <c:barDir val="bar"/>
        <c:grouping val="clustered"/>
        <c:varyColors val="0"/>
        <c:ser>
          <c:idx val="0"/>
          <c:order val="0"/>
          <c:tx>
            <c:strRef>
              <c:f>'pivot tables'!$E$3</c:f>
              <c:strCache>
                <c:ptCount val="1"/>
                <c:pt idx="0">
                  <c:v>Total</c:v>
                </c:pt>
              </c:strCache>
            </c:strRef>
          </c:tx>
          <c:spPr>
            <a:solidFill>
              <a:schemeClr val="accent1"/>
            </a:solidFill>
            <a:ln>
              <a:noFill/>
            </a:ln>
            <a:effectLst/>
          </c:spPr>
          <c:invertIfNegative val="0"/>
          <c:dPt>
            <c:idx val="0"/>
            <c:invertIfNegative val="0"/>
            <c:bubble3D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extLst>
              <c:ext xmlns:c16="http://schemas.microsoft.com/office/drawing/2014/chart" uri="{C3380CC4-5D6E-409C-BE32-E72D297353CC}">
                <c16:uniqueId val="{00000003-7C2E-4637-B41D-805CFA341E5B}"/>
              </c:ext>
            </c:extLst>
          </c:dPt>
          <c:dPt>
            <c:idx val="1"/>
            <c:invertIfNegative val="0"/>
            <c:bubble3D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extLst>
              <c:ext xmlns:c16="http://schemas.microsoft.com/office/drawing/2014/chart" uri="{C3380CC4-5D6E-409C-BE32-E72D297353CC}">
                <c16:uniqueId val="{00000001-7C2E-4637-B41D-805CFA341E5B}"/>
              </c:ext>
            </c:extLst>
          </c:dPt>
          <c:dPt>
            <c:idx val="2"/>
            <c:invertIfNegative val="0"/>
            <c:bubble3D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extLst>
              <c:ext xmlns:c16="http://schemas.microsoft.com/office/drawing/2014/chart" uri="{C3380CC4-5D6E-409C-BE32-E72D297353CC}">
                <c16:uniqueId val="{00000002-7C2E-4637-B41D-805CFA341E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tables'!$D$4:$D$6</c:f>
              <c:strCache>
                <c:ptCount val="3"/>
                <c:pt idx="0">
                  <c:v>Expensive</c:v>
                </c:pt>
                <c:pt idx="1">
                  <c:v>Cheap</c:v>
                </c:pt>
                <c:pt idx="2">
                  <c:v>Average</c:v>
                </c:pt>
              </c:strCache>
            </c:strRef>
          </c:cat>
          <c:val>
            <c:numRef>
              <c:f>'pivot tables'!$E$4:$E$6</c:f>
              <c:numCache>
                <c:formatCode>0.0</c:formatCode>
                <c:ptCount val="3"/>
                <c:pt idx="0">
                  <c:v>17</c:v>
                </c:pt>
                <c:pt idx="1">
                  <c:v>57</c:v>
                </c:pt>
                <c:pt idx="2">
                  <c:v>38</c:v>
                </c:pt>
              </c:numCache>
            </c:numRef>
          </c:val>
          <c:extLst>
            <c:ext xmlns:c16="http://schemas.microsoft.com/office/drawing/2014/chart" uri="{C3380CC4-5D6E-409C-BE32-E72D297353CC}">
              <c16:uniqueId val="{00000000-7C2E-4637-B41D-805CFA341E5B}"/>
            </c:ext>
          </c:extLst>
        </c:ser>
        <c:dLbls>
          <c:showLegendKey val="0"/>
          <c:showVal val="0"/>
          <c:showCatName val="0"/>
          <c:showSerName val="0"/>
          <c:showPercent val="0"/>
          <c:showBubbleSize val="0"/>
        </c:dLbls>
        <c:gapWidth val="182"/>
        <c:axId val="197777472"/>
        <c:axId val="197764512"/>
      </c:barChart>
      <c:catAx>
        <c:axId val="197777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64512"/>
        <c:crosses val="autoZero"/>
        <c:auto val="1"/>
        <c:lblAlgn val="ctr"/>
        <c:lblOffset val="100"/>
        <c:noMultiLvlLbl val="0"/>
      </c:catAx>
      <c:valAx>
        <c:axId val="197764512"/>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77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'Clean data'!$E$1</c:f>
              <c:strCache>
                <c:ptCount val="1"/>
                <c:pt idx="0">
                  <c:v>Review</c:v>
                </c:pt>
              </c:strCache>
            </c:strRef>
          </c:tx>
          <c:spPr>
            <a:ln w="19050" cap="rnd">
              <a:noFill/>
              <a:round/>
            </a:ln>
            <a:effectLst/>
          </c:spPr>
          <c:marker>
            <c:symbol val="circle"/>
            <c:size val="5"/>
            <c:spPr>
              <a:solidFill>
                <a:schemeClr val="accent1"/>
              </a:solidFill>
              <a:ln w="9525">
                <a:solidFill>
                  <a:schemeClr val="accent1"/>
                </a:solidFill>
              </a:ln>
              <a:effectLst/>
            </c:spPr>
          </c:marker>
          <c:xVal>
            <c:numRef>
              <c:f>'Clean data'!$D$2:$D$116</c:f>
              <c:numCache>
                <c:formatCode>0%</c:formatCode>
                <c:ptCount val="115"/>
                <c:pt idx="0">
                  <c:v>0.38</c:v>
                </c:pt>
                <c:pt idx="1">
                  <c:v>0.47</c:v>
                </c:pt>
                <c:pt idx="2">
                  <c:v>0.25</c:v>
                </c:pt>
                <c:pt idx="3">
                  <c:v>0.37</c:v>
                </c:pt>
                <c:pt idx="4">
                  <c:v>0.26</c:v>
                </c:pt>
                <c:pt idx="5">
                  <c:v>0.09</c:v>
                </c:pt>
                <c:pt idx="6">
                  <c:v>0.24</c:v>
                </c:pt>
                <c:pt idx="7">
                  <c:v>0.37</c:v>
                </c:pt>
                <c:pt idx="8">
                  <c:v>0.55000000000000004</c:v>
                </c:pt>
                <c:pt idx="9">
                  <c:v>0.45</c:v>
                </c:pt>
                <c:pt idx="10">
                  <c:v>0.2</c:v>
                </c:pt>
                <c:pt idx="11">
                  <c:v>0.34</c:v>
                </c:pt>
                <c:pt idx="12">
                  <c:v>0.47</c:v>
                </c:pt>
                <c:pt idx="13">
                  <c:v>0.42</c:v>
                </c:pt>
                <c:pt idx="14">
                  <c:v>0.33</c:v>
                </c:pt>
                <c:pt idx="15">
                  <c:v>0.51</c:v>
                </c:pt>
                <c:pt idx="16">
                  <c:v>0.46</c:v>
                </c:pt>
                <c:pt idx="17">
                  <c:v>0.49</c:v>
                </c:pt>
                <c:pt idx="18">
                  <c:v>0.19</c:v>
                </c:pt>
                <c:pt idx="19">
                  <c:v>0.49</c:v>
                </c:pt>
                <c:pt idx="20">
                  <c:v>0.53</c:v>
                </c:pt>
                <c:pt idx="21">
                  <c:v>0.42</c:v>
                </c:pt>
                <c:pt idx="22">
                  <c:v>0.35</c:v>
                </c:pt>
                <c:pt idx="23">
                  <c:v>0.23</c:v>
                </c:pt>
                <c:pt idx="24">
                  <c:v>0.54</c:v>
                </c:pt>
                <c:pt idx="25">
                  <c:v>0.35</c:v>
                </c:pt>
                <c:pt idx="26">
                  <c:v>0.18</c:v>
                </c:pt>
                <c:pt idx="27">
                  <c:v>0.32</c:v>
                </c:pt>
                <c:pt idx="28">
                  <c:v>0.3</c:v>
                </c:pt>
                <c:pt idx="29">
                  <c:v>0.46</c:v>
                </c:pt>
                <c:pt idx="30">
                  <c:v>0.52</c:v>
                </c:pt>
                <c:pt idx="31">
                  <c:v>0.34</c:v>
                </c:pt>
                <c:pt idx="32">
                  <c:v>0.48</c:v>
                </c:pt>
                <c:pt idx="33">
                  <c:v>0.27</c:v>
                </c:pt>
                <c:pt idx="34">
                  <c:v>0.27</c:v>
                </c:pt>
                <c:pt idx="35">
                  <c:v>0.4</c:v>
                </c:pt>
                <c:pt idx="36">
                  <c:v>0.53</c:v>
                </c:pt>
                <c:pt idx="37">
                  <c:v>0.41</c:v>
                </c:pt>
                <c:pt idx="38">
                  <c:v>0.38</c:v>
                </c:pt>
                <c:pt idx="39">
                  <c:v>0.38</c:v>
                </c:pt>
                <c:pt idx="40">
                  <c:v>0.49</c:v>
                </c:pt>
                <c:pt idx="41">
                  <c:v>0.5</c:v>
                </c:pt>
                <c:pt idx="42">
                  <c:v>0.42</c:v>
                </c:pt>
                <c:pt idx="43">
                  <c:v>0.02</c:v>
                </c:pt>
                <c:pt idx="44">
                  <c:v>0.5</c:v>
                </c:pt>
                <c:pt idx="45">
                  <c:v>0.33</c:v>
                </c:pt>
                <c:pt idx="46">
                  <c:v>0.49</c:v>
                </c:pt>
                <c:pt idx="47">
                  <c:v>0.38</c:v>
                </c:pt>
                <c:pt idx="48">
                  <c:v>0.61</c:v>
                </c:pt>
                <c:pt idx="49">
                  <c:v>0.5</c:v>
                </c:pt>
                <c:pt idx="50">
                  <c:v>0.02</c:v>
                </c:pt>
                <c:pt idx="51">
                  <c:v>0.22</c:v>
                </c:pt>
                <c:pt idx="52">
                  <c:v>0.03</c:v>
                </c:pt>
                <c:pt idx="53">
                  <c:v>0.41</c:v>
                </c:pt>
                <c:pt idx="54">
                  <c:v>0.45</c:v>
                </c:pt>
                <c:pt idx="55">
                  <c:v>0.48</c:v>
                </c:pt>
                <c:pt idx="56">
                  <c:v>0.49</c:v>
                </c:pt>
                <c:pt idx="57">
                  <c:v>0.27</c:v>
                </c:pt>
                <c:pt idx="58">
                  <c:v>0.55000000000000004</c:v>
                </c:pt>
                <c:pt idx="59">
                  <c:v>0.13</c:v>
                </c:pt>
                <c:pt idx="60">
                  <c:v>0.54</c:v>
                </c:pt>
                <c:pt idx="61">
                  <c:v>0.55000000000000004</c:v>
                </c:pt>
                <c:pt idx="62">
                  <c:v>0.49</c:v>
                </c:pt>
                <c:pt idx="63">
                  <c:v>0.52</c:v>
                </c:pt>
                <c:pt idx="64">
                  <c:v>0.22</c:v>
                </c:pt>
                <c:pt idx="65">
                  <c:v>0.45</c:v>
                </c:pt>
                <c:pt idx="66">
                  <c:v>0.5</c:v>
                </c:pt>
                <c:pt idx="67">
                  <c:v>0.39</c:v>
                </c:pt>
                <c:pt idx="68">
                  <c:v>0.45</c:v>
                </c:pt>
                <c:pt idx="69">
                  <c:v>0.28999999999999998</c:v>
                </c:pt>
                <c:pt idx="70">
                  <c:v>0.43</c:v>
                </c:pt>
                <c:pt idx="71">
                  <c:v>0.43</c:v>
                </c:pt>
                <c:pt idx="72">
                  <c:v>0.47</c:v>
                </c:pt>
                <c:pt idx="73">
                  <c:v>0.47</c:v>
                </c:pt>
                <c:pt idx="74">
                  <c:v>0.47</c:v>
                </c:pt>
                <c:pt idx="75">
                  <c:v>0.43</c:v>
                </c:pt>
                <c:pt idx="76">
                  <c:v>0.04</c:v>
                </c:pt>
                <c:pt idx="77">
                  <c:v>0.49</c:v>
                </c:pt>
                <c:pt idx="78">
                  <c:v>0.46</c:v>
                </c:pt>
                <c:pt idx="79">
                  <c:v>0.49</c:v>
                </c:pt>
                <c:pt idx="80">
                  <c:v>0.36</c:v>
                </c:pt>
                <c:pt idx="81">
                  <c:v>0.02</c:v>
                </c:pt>
                <c:pt idx="82">
                  <c:v>0.49</c:v>
                </c:pt>
                <c:pt idx="83">
                  <c:v>0.49</c:v>
                </c:pt>
                <c:pt idx="84">
                  <c:v>0.14000000000000001</c:v>
                </c:pt>
                <c:pt idx="85">
                  <c:v>0.49</c:v>
                </c:pt>
                <c:pt idx="86">
                  <c:v>0.11</c:v>
                </c:pt>
                <c:pt idx="87">
                  <c:v>0.49</c:v>
                </c:pt>
                <c:pt idx="88">
                  <c:v>0.14000000000000001</c:v>
                </c:pt>
                <c:pt idx="89">
                  <c:v>0.43</c:v>
                </c:pt>
                <c:pt idx="90">
                  <c:v>0.5</c:v>
                </c:pt>
                <c:pt idx="91">
                  <c:v>0.48</c:v>
                </c:pt>
                <c:pt idx="92">
                  <c:v>0.48</c:v>
                </c:pt>
                <c:pt idx="93">
                  <c:v>0.47</c:v>
                </c:pt>
                <c:pt idx="94">
                  <c:v>0.5</c:v>
                </c:pt>
                <c:pt idx="95">
                  <c:v>0.08</c:v>
                </c:pt>
                <c:pt idx="96">
                  <c:v>0.02</c:v>
                </c:pt>
                <c:pt idx="97">
                  <c:v>0.49</c:v>
                </c:pt>
                <c:pt idx="98">
                  <c:v>0.04</c:v>
                </c:pt>
                <c:pt idx="99">
                  <c:v>0.49</c:v>
                </c:pt>
                <c:pt idx="100">
                  <c:v>0.42</c:v>
                </c:pt>
                <c:pt idx="101">
                  <c:v>0.21</c:v>
                </c:pt>
                <c:pt idx="102">
                  <c:v>0.41</c:v>
                </c:pt>
                <c:pt idx="103">
                  <c:v>0.01</c:v>
                </c:pt>
                <c:pt idx="104">
                  <c:v>0.24</c:v>
                </c:pt>
                <c:pt idx="105">
                  <c:v>0.34</c:v>
                </c:pt>
                <c:pt idx="106">
                  <c:v>0.34</c:v>
                </c:pt>
                <c:pt idx="107">
                  <c:v>0.02</c:v>
                </c:pt>
                <c:pt idx="108">
                  <c:v>0.02</c:v>
                </c:pt>
                <c:pt idx="109">
                  <c:v>0.64</c:v>
                </c:pt>
                <c:pt idx="110">
                  <c:v>0.5</c:v>
                </c:pt>
                <c:pt idx="111">
                  <c:v>0.47</c:v>
                </c:pt>
              </c:numCache>
            </c:numRef>
          </c:xVal>
          <c:yVal>
            <c:numRef>
              <c:f>'Clean data'!$E$2:$E$116</c:f>
              <c:numCache>
                <c:formatCode>0</c:formatCode>
                <c:ptCount val="115"/>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1">
                  <c:v>0</c:v>
                </c:pt>
                <c:pt idx="22">
                  <c:v>6</c:v>
                </c:pt>
                <c:pt idx="23">
                  <c:v>14</c:v>
                </c:pt>
                <c:pt idx="24">
                  <c:v>7</c:v>
                </c:pt>
                <c:pt idx="25">
                  <c:v>49</c:v>
                </c:pt>
                <c:pt idx="26">
                  <c:v>12</c:v>
                </c:pt>
                <c:pt idx="27">
                  <c:v>13</c:v>
                </c:pt>
                <c:pt idx="28">
                  <c:v>20</c:v>
                </c:pt>
                <c:pt idx="29">
                  <c:v>0</c:v>
                </c:pt>
                <c:pt idx="30">
                  <c:v>9</c:v>
                </c:pt>
                <c:pt idx="31">
                  <c:v>12</c:v>
                </c:pt>
                <c:pt idx="32">
                  <c:v>9</c:v>
                </c:pt>
                <c:pt idx="33">
                  <c:v>20</c:v>
                </c:pt>
                <c:pt idx="34">
                  <c:v>32</c:v>
                </c:pt>
                <c:pt idx="35">
                  <c:v>1</c:v>
                </c:pt>
                <c:pt idx="36">
                  <c:v>2</c:v>
                </c:pt>
                <c:pt idx="37">
                  <c:v>36</c:v>
                </c:pt>
                <c:pt idx="38">
                  <c:v>2</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6</c:v>
                </c:pt>
                <c:pt idx="60">
                  <c:v>10</c:v>
                </c:pt>
                <c:pt idx="61">
                  <c:v>13</c:v>
                </c:pt>
                <c:pt idx="62">
                  <c:v>69</c:v>
                </c:pt>
                <c:pt idx="63">
                  <c:v>15</c:v>
                </c:pt>
                <c:pt idx="64">
                  <c:v>16</c:v>
                </c:pt>
                <c:pt idx="65">
                  <c:v>6</c:v>
                </c:pt>
                <c:pt idx="66">
                  <c:v>7</c:v>
                </c:pt>
                <c:pt idx="67">
                  <c:v>5</c:v>
                </c:pt>
                <c:pt idx="68">
                  <c:v>17</c:v>
                </c:pt>
                <c:pt idx="69">
                  <c:v>5</c:v>
                </c:pt>
                <c:pt idx="70">
                  <c:v>6</c:v>
                </c:pt>
                <c:pt idx="71">
                  <c:v>5</c:v>
                </c:pt>
                <c:pt idx="72">
                  <c:v>6</c:v>
                </c:pt>
                <c:pt idx="73">
                  <c:v>7</c:v>
                </c:pt>
                <c:pt idx="74">
                  <c:v>0</c:v>
                </c:pt>
                <c:pt idx="75">
                  <c:v>0</c:v>
                </c:pt>
                <c:pt idx="76">
                  <c:v>0</c:v>
                </c:pt>
                <c:pt idx="77">
                  <c:v>0</c:v>
                </c:pt>
                <c:pt idx="78">
                  <c:v>1</c:v>
                </c:pt>
                <c:pt idx="79">
                  <c:v>1</c:v>
                </c:pt>
                <c:pt idx="80">
                  <c:v>0</c:v>
                </c:pt>
                <c:pt idx="81">
                  <c:v>0</c:v>
                </c:pt>
                <c:pt idx="82">
                  <c:v>1</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1</c:v>
                </c:pt>
                <c:pt idx="102">
                  <c:v>0</c:v>
                </c:pt>
                <c:pt idx="103">
                  <c:v>0</c:v>
                </c:pt>
                <c:pt idx="104">
                  <c:v>0</c:v>
                </c:pt>
                <c:pt idx="105">
                  <c:v>0</c:v>
                </c:pt>
                <c:pt idx="106">
                  <c:v>0</c:v>
                </c:pt>
                <c:pt idx="107">
                  <c:v>0</c:v>
                </c:pt>
                <c:pt idx="108">
                  <c:v>0</c:v>
                </c:pt>
                <c:pt idx="109">
                  <c:v>0</c:v>
                </c:pt>
                <c:pt idx="110">
                  <c:v>1</c:v>
                </c:pt>
                <c:pt idx="111">
                  <c:v>0</c:v>
                </c:pt>
              </c:numCache>
            </c:numRef>
          </c:yVal>
          <c:smooth val="0"/>
          <c:extLst>
            <c:ext xmlns:c16="http://schemas.microsoft.com/office/drawing/2014/chart" uri="{C3380CC4-5D6E-409C-BE32-E72D297353CC}">
              <c16:uniqueId val="{00000000-1EA3-47CA-8C04-E948423A6483}"/>
            </c:ext>
          </c:extLst>
        </c:ser>
        <c:dLbls>
          <c:showLegendKey val="0"/>
          <c:showVal val="0"/>
          <c:showCatName val="0"/>
          <c:showSerName val="0"/>
          <c:showPercent val="0"/>
          <c:showBubbleSize val="0"/>
        </c:dLbls>
        <c:axId val="197842272"/>
        <c:axId val="197835072"/>
      </c:scatterChart>
      <c:valAx>
        <c:axId val="197842272"/>
        <c:scaling>
          <c:orientation val="minMax"/>
        </c:scaling>
        <c:delete val="0"/>
        <c:axPos val="b"/>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35072"/>
        <c:crosses val="autoZero"/>
        <c:crossBetween val="midCat"/>
      </c:valAx>
      <c:valAx>
        <c:axId val="197835072"/>
        <c:scaling>
          <c:orientation val="minMax"/>
        </c:scaling>
        <c:delete val="0"/>
        <c:axPos val="l"/>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4227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'Clean data'!$F$1</c:f>
              <c:strCache>
                <c:ptCount val="1"/>
                <c:pt idx="0">
                  <c:v>Ratings </c:v>
                </c:pt>
              </c:strCache>
            </c:strRef>
          </c:tx>
          <c:spPr>
            <a:ln w="19050" cap="rnd">
              <a:noFill/>
              <a:round/>
            </a:ln>
            <a:effectLst/>
          </c:spPr>
          <c:marker>
            <c:symbol val="circle"/>
            <c:size val="5"/>
            <c:spPr>
              <a:solidFill>
                <a:schemeClr val="accent1"/>
              </a:solidFill>
              <a:ln w="9525">
                <a:solidFill>
                  <a:schemeClr val="accent1"/>
                </a:solidFill>
              </a:ln>
              <a:effectLst/>
            </c:spPr>
          </c:marker>
          <c:xVal>
            <c:numRef>
              <c:f>'Clean data'!$E$2:$E$116</c:f>
              <c:numCache>
                <c:formatCode>0</c:formatCode>
                <c:ptCount val="115"/>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1">
                  <c:v>0</c:v>
                </c:pt>
                <c:pt idx="22">
                  <c:v>6</c:v>
                </c:pt>
                <c:pt idx="23">
                  <c:v>14</c:v>
                </c:pt>
                <c:pt idx="24">
                  <c:v>7</c:v>
                </c:pt>
                <c:pt idx="25">
                  <c:v>49</c:v>
                </c:pt>
                <c:pt idx="26">
                  <c:v>12</c:v>
                </c:pt>
                <c:pt idx="27">
                  <c:v>13</c:v>
                </c:pt>
                <c:pt idx="28">
                  <c:v>20</c:v>
                </c:pt>
                <c:pt idx="29">
                  <c:v>0</c:v>
                </c:pt>
                <c:pt idx="30">
                  <c:v>9</c:v>
                </c:pt>
                <c:pt idx="31">
                  <c:v>12</c:v>
                </c:pt>
                <c:pt idx="32">
                  <c:v>9</c:v>
                </c:pt>
                <c:pt idx="33">
                  <c:v>20</c:v>
                </c:pt>
                <c:pt idx="34">
                  <c:v>32</c:v>
                </c:pt>
                <c:pt idx="35">
                  <c:v>1</c:v>
                </c:pt>
                <c:pt idx="36">
                  <c:v>2</c:v>
                </c:pt>
                <c:pt idx="37">
                  <c:v>36</c:v>
                </c:pt>
                <c:pt idx="38">
                  <c:v>2</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6</c:v>
                </c:pt>
                <c:pt idx="60">
                  <c:v>10</c:v>
                </c:pt>
                <c:pt idx="61">
                  <c:v>13</c:v>
                </c:pt>
                <c:pt idx="62">
                  <c:v>69</c:v>
                </c:pt>
                <c:pt idx="63">
                  <c:v>15</c:v>
                </c:pt>
                <c:pt idx="64">
                  <c:v>16</c:v>
                </c:pt>
                <c:pt idx="65">
                  <c:v>6</c:v>
                </c:pt>
                <c:pt idx="66">
                  <c:v>7</c:v>
                </c:pt>
                <c:pt idx="67">
                  <c:v>5</c:v>
                </c:pt>
                <c:pt idx="68">
                  <c:v>17</c:v>
                </c:pt>
                <c:pt idx="69">
                  <c:v>5</c:v>
                </c:pt>
                <c:pt idx="70">
                  <c:v>6</c:v>
                </c:pt>
                <c:pt idx="71">
                  <c:v>5</c:v>
                </c:pt>
                <c:pt idx="72">
                  <c:v>6</c:v>
                </c:pt>
                <c:pt idx="73">
                  <c:v>7</c:v>
                </c:pt>
                <c:pt idx="74">
                  <c:v>0</c:v>
                </c:pt>
                <c:pt idx="75">
                  <c:v>0</c:v>
                </c:pt>
                <c:pt idx="76">
                  <c:v>0</c:v>
                </c:pt>
                <c:pt idx="77">
                  <c:v>0</c:v>
                </c:pt>
                <c:pt idx="78">
                  <c:v>1</c:v>
                </c:pt>
                <c:pt idx="79">
                  <c:v>1</c:v>
                </c:pt>
                <c:pt idx="80">
                  <c:v>0</c:v>
                </c:pt>
                <c:pt idx="81">
                  <c:v>0</c:v>
                </c:pt>
                <c:pt idx="82">
                  <c:v>1</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1</c:v>
                </c:pt>
                <c:pt idx="102">
                  <c:v>0</c:v>
                </c:pt>
                <c:pt idx="103">
                  <c:v>0</c:v>
                </c:pt>
                <c:pt idx="104">
                  <c:v>0</c:v>
                </c:pt>
                <c:pt idx="105">
                  <c:v>0</c:v>
                </c:pt>
                <c:pt idx="106">
                  <c:v>0</c:v>
                </c:pt>
                <c:pt idx="107">
                  <c:v>0</c:v>
                </c:pt>
                <c:pt idx="108">
                  <c:v>0</c:v>
                </c:pt>
                <c:pt idx="109">
                  <c:v>0</c:v>
                </c:pt>
                <c:pt idx="110">
                  <c:v>1</c:v>
                </c:pt>
                <c:pt idx="111">
                  <c:v>0</c:v>
                </c:pt>
              </c:numCache>
            </c:numRef>
          </c:xVal>
          <c:yVal>
            <c:numRef>
              <c:f>'Clean data'!$F$2:$F$116</c:f>
              <c:numCache>
                <c:formatCode>0.0</c:formatCode>
                <c:ptCount val="115"/>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4.7</c:v>
                </c:pt>
                <c:pt idx="12">
                  <c:v>4.8</c:v>
                </c:pt>
                <c:pt idx="13">
                  <c:v>4.5</c:v>
                </c:pt>
                <c:pt idx="14">
                  <c:v>4.2</c:v>
                </c:pt>
                <c:pt idx="15">
                  <c:v>5</c:v>
                </c:pt>
                <c:pt idx="16">
                  <c:v>5</c:v>
                </c:pt>
                <c:pt idx="17">
                  <c:v>5</c:v>
                </c:pt>
                <c:pt idx="18">
                  <c:v>4.5999999999999996</c:v>
                </c:pt>
                <c:pt idx="19">
                  <c:v>4.5999999999999996</c:v>
                </c:pt>
                <c:pt idx="20">
                  <c:v>3.3</c:v>
                </c:pt>
                <c:pt idx="22">
                  <c:v>4</c:v>
                </c:pt>
                <c:pt idx="23">
                  <c:v>4.4000000000000004</c:v>
                </c:pt>
                <c:pt idx="24">
                  <c:v>4.3</c:v>
                </c:pt>
                <c:pt idx="25">
                  <c:v>4.5999999999999996</c:v>
                </c:pt>
                <c:pt idx="26">
                  <c:v>3.8</c:v>
                </c:pt>
                <c:pt idx="27">
                  <c:v>3.8</c:v>
                </c:pt>
                <c:pt idx="28">
                  <c:v>4.0999999999999996</c:v>
                </c:pt>
                <c:pt idx="30">
                  <c:v>4.3</c:v>
                </c:pt>
                <c:pt idx="31">
                  <c:v>4.7</c:v>
                </c:pt>
                <c:pt idx="32">
                  <c:v>4.3</c:v>
                </c:pt>
                <c:pt idx="33">
                  <c:v>4.7</c:v>
                </c:pt>
                <c:pt idx="34">
                  <c:v>4.5</c:v>
                </c:pt>
                <c:pt idx="35">
                  <c:v>5</c:v>
                </c:pt>
                <c:pt idx="36">
                  <c:v>5</c:v>
                </c:pt>
                <c:pt idx="37">
                  <c:v>4.3</c:v>
                </c:pt>
                <c:pt idx="38">
                  <c:v>4.5</c:v>
                </c:pt>
                <c:pt idx="59">
                  <c:v>2.5</c:v>
                </c:pt>
                <c:pt idx="60">
                  <c:v>3</c:v>
                </c:pt>
                <c:pt idx="61">
                  <c:v>2.1</c:v>
                </c:pt>
                <c:pt idx="62">
                  <c:v>2.8</c:v>
                </c:pt>
                <c:pt idx="63">
                  <c:v>2.7</c:v>
                </c:pt>
                <c:pt idx="64">
                  <c:v>2.9</c:v>
                </c:pt>
                <c:pt idx="65">
                  <c:v>2.2000000000000002</c:v>
                </c:pt>
                <c:pt idx="66">
                  <c:v>2.2999999999999998</c:v>
                </c:pt>
                <c:pt idx="67">
                  <c:v>3</c:v>
                </c:pt>
                <c:pt idx="68">
                  <c:v>2.6</c:v>
                </c:pt>
                <c:pt idx="69">
                  <c:v>3</c:v>
                </c:pt>
                <c:pt idx="70">
                  <c:v>2.2999999999999998</c:v>
                </c:pt>
                <c:pt idx="71">
                  <c:v>3</c:v>
                </c:pt>
                <c:pt idx="72">
                  <c:v>2.2000000000000002</c:v>
                </c:pt>
                <c:pt idx="73">
                  <c:v>2.1</c:v>
                </c:pt>
                <c:pt idx="78">
                  <c:v>3</c:v>
                </c:pt>
                <c:pt idx="79">
                  <c:v>5</c:v>
                </c:pt>
                <c:pt idx="82">
                  <c:v>4</c:v>
                </c:pt>
                <c:pt idx="101">
                  <c:v>5</c:v>
                </c:pt>
                <c:pt idx="110">
                  <c:v>2</c:v>
                </c:pt>
              </c:numCache>
            </c:numRef>
          </c:yVal>
          <c:smooth val="0"/>
          <c:extLst>
            <c:ext xmlns:c16="http://schemas.microsoft.com/office/drawing/2014/chart" uri="{C3380CC4-5D6E-409C-BE32-E72D297353CC}">
              <c16:uniqueId val="{00000000-8CBF-4F73-B93D-BB1DD926EF39}"/>
            </c:ext>
          </c:extLst>
        </c:ser>
        <c:dLbls>
          <c:showLegendKey val="0"/>
          <c:showVal val="0"/>
          <c:showCatName val="0"/>
          <c:showSerName val="0"/>
          <c:showPercent val="0"/>
          <c:showBubbleSize val="0"/>
        </c:dLbls>
        <c:axId val="197780352"/>
        <c:axId val="197780832"/>
      </c:scatterChart>
      <c:valAx>
        <c:axId val="197780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Reviews</a:t>
                </a:r>
              </a:p>
            </c:rich>
          </c:tx>
          <c:layout>
            <c:manualLayout>
              <c:xMode val="edge"/>
              <c:yMode val="edge"/>
              <c:x val="0.48558185325522163"/>
              <c:y val="0.9074483185163432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80832"/>
        <c:crosses val="autoZero"/>
        <c:crossBetween val="midCat"/>
      </c:valAx>
      <c:valAx>
        <c:axId val="1977808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a:t>Ratings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8035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'Clean data'!$F$1</c:f>
              <c:strCache>
                <c:ptCount val="1"/>
                <c:pt idx="0">
                  <c:v>Ratings </c:v>
                </c:pt>
              </c:strCache>
            </c:strRef>
          </c:tx>
          <c:spPr>
            <a:ln w="19050" cap="rnd">
              <a:noFill/>
              <a:round/>
            </a:ln>
            <a:effectLst/>
          </c:spPr>
          <c:marker>
            <c:symbol val="circle"/>
            <c:size val="5"/>
            <c:spPr>
              <a:solidFill>
                <a:schemeClr val="accent1"/>
              </a:solidFill>
              <a:ln w="9525">
                <a:solidFill>
                  <a:schemeClr val="accent1"/>
                </a:solidFill>
              </a:ln>
              <a:effectLst/>
            </c:spPr>
          </c:marker>
          <c:xVal>
            <c:numRef>
              <c:f>'Clean data'!$B$2:$B$116</c:f>
              <c:numCache>
                <c:formatCode>0</c:formatCode>
                <c:ptCount val="115"/>
                <c:pt idx="0">
                  <c:v>950</c:v>
                </c:pt>
                <c:pt idx="1">
                  <c:v>527</c:v>
                </c:pt>
                <c:pt idx="2">
                  <c:v>2199</c:v>
                </c:pt>
                <c:pt idx="3">
                  <c:v>1580</c:v>
                </c:pt>
                <c:pt idx="4">
                  <c:v>1740</c:v>
                </c:pt>
                <c:pt idx="5">
                  <c:v>2999</c:v>
                </c:pt>
                <c:pt idx="6">
                  <c:v>2319</c:v>
                </c:pt>
                <c:pt idx="7">
                  <c:v>988</c:v>
                </c:pt>
                <c:pt idx="8">
                  <c:v>1274</c:v>
                </c:pt>
                <c:pt idx="9">
                  <c:v>1600</c:v>
                </c:pt>
                <c:pt idx="10">
                  <c:v>799</c:v>
                </c:pt>
                <c:pt idx="11">
                  <c:v>990</c:v>
                </c:pt>
                <c:pt idx="12">
                  <c:v>552</c:v>
                </c:pt>
                <c:pt idx="13">
                  <c:v>501</c:v>
                </c:pt>
                <c:pt idx="14">
                  <c:v>1680</c:v>
                </c:pt>
                <c:pt idx="15">
                  <c:v>332</c:v>
                </c:pt>
                <c:pt idx="16">
                  <c:v>195</c:v>
                </c:pt>
                <c:pt idx="17">
                  <c:v>2025</c:v>
                </c:pt>
                <c:pt idx="18">
                  <c:v>2999</c:v>
                </c:pt>
                <c:pt idx="19">
                  <c:v>998</c:v>
                </c:pt>
                <c:pt idx="20">
                  <c:v>38</c:v>
                </c:pt>
                <c:pt idx="21">
                  <c:v>1860</c:v>
                </c:pt>
                <c:pt idx="22">
                  <c:v>880</c:v>
                </c:pt>
                <c:pt idx="23">
                  <c:v>1650</c:v>
                </c:pt>
                <c:pt idx="24">
                  <c:v>2048</c:v>
                </c:pt>
                <c:pt idx="25">
                  <c:v>420</c:v>
                </c:pt>
                <c:pt idx="26">
                  <c:v>2880</c:v>
                </c:pt>
                <c:pt idx="27">
                  <c:v>1350</c:v>
                </c:pt>
                <c:pt idx="28">
                  <c:v>1758</c:v>
                </c:pt>
                <c:pt idx="29">
                  <c:v>2200</c:v>
                </c:pt>
                <c:pt idx="30">
                  <c:v>185</c:v>
                </c:pt>
                <c:pt idx="31">
                  <c:v>980</c:v>
                </c:pt>
                <c:pt idx="32">
                  <c:v>1820</c:v>
                </c:pt>
                <c:pt idx="33">
                  <c:v>1940</c:v>
                </c:pt>
                <c:pt idx="34">
                  <c:v>1980</c:v>
                </c:pt>
                <c:pt idx="35">
                  <c:v>1620</c:v>
                </c:pt>
                <c:pt idx="36">
                  <c:v>171</c:v>
                </c:pt>
                <c:pt idx="37">
                  <c:v>389</c:v>
                </c:pt>
                <c:pt idx="38">
                  <c:v>1800</c:v>
                </c:pt>
                <c:pt idx="39">
                  <c:v>2750</c:v>
                </c:pt>
                <c:pt idx="40">
                  <c:v>475</c:v>
                </c:pt>
                <c:pt idx="41">
                  <c:v>238</c:v>
                </c:pt>
                <c:pt idx="42">
                  <c:v>610</c:v>
                </c:pt>
                <c:pt idx="43">
                  <c:v>2132</c:v>
                </c:pt>
                <c:pt idx="44">
                  <c:v>999</c:v>
                </c:pt>
                <c:pt idx="45">
                  <c:v>1190</c:v>
                </c:pt>
                <c:pt idx="46">
                  <c:v>671</c:v>
                </c:pt>
                <c:pt idx="47">
                  <c:v>1200</c:v>
                </c:pt>
                <c:pt idx="48">
                  <c:v>199</c:v>
                </c:pt>
                <c:pt idx="49">
                  <c:v>299</c:v>
                </c:pt>
                <c:pt idx="50">
                  <c:v>1660</c:v>
                </c:pt>
                <c:pt idx="51">
                  <c:v>299</c:v>
                </c:pt>
                <c:pt idx="52">
                  <c:v>1459</c:v>
                </c:pt>
                <c:pt idx="53">
                  <c:v>799</c:v>
                </c:pt>
                <c:pt idx="54">
                  <c:v>499</c:v>
                </c:pt>
                <c:pt idx="55">
                  <c:v>699</c:v>
                </c:pt>
                <c:pt idx="56">
                  <c:v>799</c:v>
                </c:pt>
                <c:pt idx="57">
                  <c:v>2799</c:v>
                </c:pt>
                <c:pt idx="58">
                  <c:v>399</c:v>
                </c:pt>
                <c:pt idx="59">
                  <c:v>2170</c:v>
                </c:pt>
                <c:pt idx="60">
                  <c:v>458</c:v>
                </c:pt>
                <c:pt idx="61">
                  <c:v>2115</c:v>
                </c:pt>
                <c:pt idx="62">
                  <c:v>445</c:v>
                </c:pt>
                <c:pt idx="63">
                  <c:v>325</c:v>
                </c:pt>
                <c:pt idx="64">
                  <c:v>1220</c:v>
                </c:pt>
                <c:pt idx="65">
                  <c:v>990</c:v>
                </c:pt>
                <c:pt idx="66">
                  <c:v>1000</c:v>
                </c:pt>
                <c:pt idx="67">
                  <c:v>3750</c:v>
                </c:pt>
                <c:pt idx="68">
                  <c:v>382</c:v>
                </c:pt>
                <c:pt idx="69">
                  <c:v>2300</c:v>
                </c:pt>
                <c:pt idx="70">
                  <c:v>345</c:v>
                </c:pt>
                <c:pt idx="71">
                  <c:v>509</c:v>
                </c:pt>
                <c:pt idx="72">
                  <c:v>968</c:v>
                </c:pt>
                <c:pt idx="73">
                  <c:v>1570</c:v>
                </c:pt>
                <c:pt idx="74">
                  <c:v>790</c:v>
                </c:pt>
                <c:pt idx="75">
                  <c:v>690</c:v>
                </c:pt>
                <c:pt idx="76">
                  <c:v>1732</c:v>
                </c:pt>
                <c:pt idx="77">
                  <c:v>230</c:v>
                </c:pt>
                <c:pt idx="78">
                  <c:v>1189</c:v>
                </c:pt>
                <c:pt idx="79">
                  <c:v>979</c:v>
                </c:pt>
                <c:pt idx="80">
                  <c:v>1460</c:v>
                </c:pt>
                <c:pt idx="81">
                  <c:v>1666</c:v>
                </c:pt>
                <c:pt idx="82">
                  <c:v>330</c:v>
                </c:pt>
                <c:pt idx="83">
                  <c:v>176</c:v>
                </c:pt>
                <c:pt idx="84">
                  <c:v>1466</c:v>
                </c:pt>
                <c:pt idx="85">
                  <c:v>274</c:v>
                </c:pt>
                <c:pt idx="86">
                  <c:v>799</c:v>
                </c:pt>
                <c:pt idx="87">
                  <c:v>657</c:v>
                </c:pt>
                <c:pt idx="88">
                  <c:v>1468</c:v>
                </c:pt>
                <c:pt idx="89">
                  <c:v>630</c:v>
                </c:pt>
                <c:pt idx="90">
                  <c:v>850</c:v>
                </c:pt>
                <c:pt idx="91">
                  <c:v>1300</c:v>
                </c:pt>
                <c:pt idx="92">
                  <c:v>105</c:v>
                </c:pt>
                <c:pt idx="93">
                  <c:v>899</c:v>
                </c:pt>
                <c:pt idx="94">
                  <c:v>1200</c:v>
                </c:pt>
                <c:pt idx="95">
                  <c:v>1526</c:v>
                </c:pt>
                <c:pt idx="96">
                  <c:v>1462</c:v>
                </c:pt>
                <c:pt idx="97">
                  <c:v>248</c:v>
                </c:pt>
                <c:pt idx="98">
                  <c:v>3546</c:v>
                </c:pt>
                <c:pt idx="99">
                  <c:v>525</c:v>
                </c:pt>
                <c:pt idx="100">
                  <c:v>1080</c:v>
                </c:pt>
                <c:pt idx="101">
                  <c:v>3640</c:v>
                </c:pt>
                <c:pt idx="102">
                  <c:v>1420</c:v>
                </c:pt>
                <c:pt idx="103">
                  <c:v>1875</c:v>
                </c:pt>
                <c:pt idx="104">
                  <c:v>198</c:v>
                </c:pt>
                <c:pt idx="105">
                  <c:v>1150</c:v>
                </c:pt>
                <c:pt idx="106">
                  <c:v>1190</c:v>
                </c:pt>
                <c:pt idx="107">
                  <c:v>1658</c:v>
                </c:pt>
                <c:pt idx="108">
                  <c:v>1768</c:v>
                </c:pt>
                <c:pt idx="109">
                  <c:v>199</c:v>
                </c:pt>
                <c:pt idx="110">
                  <c:v>450</c:v>
                </c:pt>
                <c:pt idx="111">
                  <c:v>169</c:v>
                </c:pt>
              </c:numCache>
            </c:numRef>
          </c:xVal>
          <c:yVal>
            <c:numRef>
              <c:f>'Clean data'!$F$2:$F$116</c:f>
              <c:numCache>
                <c:formatCode>0.0</c:formatCode>
                <c:ptCount val="115"/>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4.7</c:v>
                </c:pt>
                <c:pt idx="12">
                  <c:v>4.8</c:v>
                </c:pt>
                <c:pt idx="13">
                  <c:v>4.5</c:v>
                </c:pt>
                <c:pt idx="14">
                  <c:v>4.2</c:v>
                </c:pt>
                <c:pt idx="15">
                  <c:v>5</c:v>
                </c:pt>
                <c:pt idx="16">
                  <c:v>5</c:v>
                </c:pt>
                <c:pt idx="17">
                  <c:v>5</c:v>
                </c:pt>
                <c:pt idx="18">
                  <c:v>4.5999999999999996</c:v>
                </c:pt>
                <c:pt idx="19">
                  <c:v>4.5999999999999996</c:v>
                </c:pt>
                <c:pt idx="20">
                  <c:v>3.3</c:v>
                </c:pt>
                <c:pt idx="22">
                  <c:v>4</c:v>
                </c:pt>
                <c:pt idx="23">
                  <c:v>4.4000000000000004</c:v>
                </c:pt>
                <c:pt idx="24">
                  <c:v>4.3</c:v>
                </c:pt>
                <c:pt idx="25">
                  <c:v>4.5999999999999996</c:v>
                </c:pt>
                <c:pt idx="26">
                  <c:v>3.8</c:v>
                </c:pt>
                <c:pt idx="27">
                  <c:v>3.8</c:v>
                </c:pt>
                <c:pt idx="28">
                  <c:v>4.0999999999999996</c:v>
                </c:pt>
                <c:pt idx="30">
                  <c:v>4.3</c:v>
                </c:pt>
                <c:pt idx="31">
                  <c:v>4.7</c:v>
                </c:pt>
                <c:pt idx="32">
                  <c:v>4.3</c:v>
                </c:pt>
                <c:pt idx="33">
                  <c:v>4.7</c:v>
                </c:pt>
                <c:pt idx="34">
                  <c:v>4.5</c:v>
                </c:pt>
                <c:pt idx="35">
                  <c:v>5</c:v>
                </c:pt>
                <c:pt idx="36">
                  <c:v>5</c:v>
                </c:pt>
                <c:pt idx="37">
                  <c:v>4.3</c:v>
                </c:pt>
                <c:pt idx="38">
                  <c:v>4.5</c:v>
                </c:pt>
                <c:pt idx="59">
                  <c:v>2.5</c:v>
                </c:pt>
                <c:pt idx="60">
                  <c:v>3</c:v>
                </c:pt>
                <c:pt idx="61">
                  <c:v>2.1</c:v>
                </c:pt>
                <c:pt idx="62">
                  <c:v>2.8</c:v>
                </c:pt>
                <c:pt idx="63">
                  <c:v>2.7</c:v>
                </c:pt>
                <c:pt idx="64">
                  <c:v>2.9</c:v>
                </c:pt>
                <c:pt idx="65">
                  <c:v>2.2000000000000002</c:v>
                </c:pt>
                <c:pt idx="66">
                  <c:v>2.2999999999999998</c:v>
                </c:pt>
                <c:pt idx="67">
                  <c:v>3</c:v>
                </c:pt>
                <c:pt idx="68">
                  <c:v>2.6</c:v>
                </c:pt>
                <c:pt idx="69">
                  <c:v>3</c:v>
                </c:pt>
                <c:pt idx="70">
                  <c:v>2.2999999999999998</c:v>
                </c:pt>
                <c:pt idx="71">
                  <c:v>3</c:v>
                </c:pt>
                <c:pt idx="72">
                  <c:v>2.2000000000000002</c:v>
                </c:pt>
                <c:pt idx="73">
                  <c:v>2.1</c:v>
                </c:pt>
                <c:pt idx="78">
                  <c:v>3</c:v>
                </c:pt>
                <c:pt idx="79">
                  <c:v>5</c:v>
                </c:pt>
                <c:pt idx="82">
                  <c:v>4</c:v>
                </c:pt>
                <c:pt idx="101">
                  <c:v>5</c:v>
                </c:pt>
                <c:pt idx="110">
                  <c:v>2</c:v>
                </c:pt>
              </c:numCache>
            </c:numRef>
          </c:yVal>
          <c:smooth val="0"/>
          <c:extLst>
            <c:ext xmlns:c16="http://schemas.microsoft.com/office/drawing/2014/chart" uri="{C3380CC4-5D6E-409C-BE32-E72D297353CC}">
              <c16:uniqueId val="{00000000-98F7-47CC-A9F3-730368596EBF}"/>
            </c:ext>
          </c:extLst>
        </c:ser>
        <c:dLbls>
          <c:showLegendKey val="0"/>
          <c:showVal val="0"/>
          <c:showCatName val="0"/>
          <c:showSerName val="0"/>
          <c:showPercent val="0"/>
          <c:showBubbleSize val="0"/>
        </c:dLbls>
        <c:axId val="197812032"/>
        <c:axId val="197798592"/>
      </c:scatterChart>
      <c:valAx>
        <c:axId val="1978120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Price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98592"/>
        <c:crosses val="autoZero"/>
        <c:crossBetween val="midCat"/>
      </c:valAx>
      <c:valAx>
        <c:axId val="1977985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120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1.xml"/><Relationship Id="rId7" Type="http://schemas.openxmlformats.org/officeDocument/2006/relationships/chart" Target="../charts/chart4.xml"/><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chart" Target="../charts/chart3.xml"/><Relationship Id="rId5" Type="http://schemas.openxmlformats.org/officeDocument/2006/relationships/image" Target="../media/image3.emf"/><Relationship Id="rId4" Type="http://schemas.openxmlformats.org/officeDocument/2006/relationships/chart" Target="../charts/chart2.xml"/><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555626</xdr:colOff>
      <xdr:row>0</xdr:row>
      <xdr:rowOff>31751</xdr:rowOff>
    </xdr:from>
    <xdr:to>
      <xdr:col>20</xdr:col>
      <xdr:colOff>579438</xdr:colOff>
      <xdr:row>3</xdr:row>
      <xdr:rowOff>95251</xdr:rowOff>
    </xdr:to>
    <xdr:sp macro="" textlink="">
      <xdr:nvSpPr>
        <xdr:cNvPr id="2" name="Rectangle 1">
          <a:extLst>
            <a:ext uri="{FF2B5EF4-FFF2-40B4-BE49-F238E27FC236}">
              <a16:creationId xmlns:a16="http://schemas.microsoft.com/office/drawing/2014/main" id="{92F60094-FC93-D2C6-2493-636808E574D0}"/>
            </a:ext>
          </a:extLst>
        </xdr:cNvPr>
        <xdr:cNvSpPr/>
      </xdr:nvSpPr>
      <xdr:spPr>
        <a:xfrm>
          <a:off x="1166814" y="31751"/>
          <a:ext cx="11636374" cy="611188"/>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2">
                <a:lumMod val="60000"/>
                <a:lumOff val="40000"/>
              </a:schemeClr>
            </a:solidFill>
          </a:endParaRPr>
        </a:p>
      </xdr:txBody>
    </xdr:sp>
    <xdr:clientData/>
  </xdr:twoCellAnchor>
  <xdr:twoCellAnchor>
    <xdr:from>
      <xdr:col>0</xdr:col>
      <xdr:colOff>0</xdr:colOff>
      <xdr:row>0</xdr:row>
      <xdr:rowOff>73626</xdr:rowOff>
    </xdr:from>
    <xdr:to>
      <xdr:col>1</xdr:col>
      <xdr:colOff>563561</xdr:colOff>
      <xdr:row>63</xdr:row>
      <xdr:rowOff>142328</xdr:rowOff>
    </xdr:to>
    <xdr:sp macro="" textlink="">
      <xdr:nvSpPr>
        <xdr:cNvPr id="4" name="Rectangle 3">
          <a:extLst>
            <a:ext uri="{FF2B5EF4-FFF2-40B4-BE49-F238E27FC236}">
              <a16:creationId xmlns:a16="http://schemas.microsoft.com/office/drawing/2014/main" id="{1E58F185-56F5-B580-D3D1-EAB94BAD6908}"/>
            </a:ext>
          </a:extLst>
        </xdr:cNvPr>
        <xdr:cNvSpPr/>
      </xdr:nvSpPr>
      <xdr:spPr>
        <a:xfrm>
          <a:off x="0" y="73626"/>
          <a:ext cx="1176664" cy="11794305"/>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596899</xdr:colOff>
      <xdr:row>25</xdr:row>
      <xdr:rowOff>120650</xdr:rowOff>
    </xdr:from>
    <xdr:to>
      <xdr:col>8</xdr:col>
      <xdr:colOff>63500</xdr:colOff>
      <xdr:row>42</xdr:row>
      <xdr:rowOff>0</xdr:rowOff>
    </xdr:to>
    <xdr:sp macro="" textlink="">
      <xdr:nvSpPr>
        <xdr:cNvPr id="5" name="Rectangle 4">
          <a:extLst>
            <a:ext uri="{FF2B5EF4-FFF2-40B4-BE49-F238E27FC236}">
              <a16:creationId xmlns:a16="http://schemas.microsoft.com/office/drawing/2014/main" id="{18FE39A4-76B2-49FA-A9EB-A99A370EDDB3}"/>
            </a:ext>
          </a:extLst>
        </xdr:cNvPr>
        <xdr:cNvSpPr/>
      </xdr:nvSpPr>
      <xdr:spPr>
        <a:xfrm>
          <a:off x="1208087" y="4684713"/>
          <a:ext cx="3744913" cy="298291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222250</xdr:colOff>
      <xdr:row>25</xdr:row>
      <xdr:rowOff>58736</xdr:rowOff>
    </xdr:from>
    <xdr:to>
      <xdr:col>20</xdr:col>
      <xdr:colOff>595312</xdr:colOff>
      <xdr:row>42</xdr:row>
      <xdr:rowOff>7937</xdr:rowOff>
    </xdr:to>
    <xdr:sp macro="" textlink="">
      <xdr:nvSpPr>
        <xdr:cNvPr id="6" name="Rectangle 5">
          <a:extLst>
            <a:ext uri="{FF2B5EF4-FFF2-40B4-BE49-F238E27FC236}">
              <a16:creationId xmlns:a16="http://schemas.microsoft.com/office/drawing/2014/main" id="{803CB211-9099-45C0-B27F-53CC449F8EE8}"/>
            </a:ext>
          </a:extLst>
        </xdr:cNvPr>
        <xdr:cNvSpPr/>
      </xdr:nvSpPr>
      <xdr:spPr>
        <a:xfrm>
          <a:off x="8778875" y="4622799"/>
          <a:ext cx="4040187" cy="305276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95250</xdr:colOff>
      <xdr:row>25</xdr:row>
      <xdr:rowOff>111124</xdr:rowOff>
    </xdr:from>
    <xdr:to>
      <xdr:col>14</xdr:col>
      <xdr:colOff>158751</xdr:colOff>
      <xdr:row>42</xdr:row>
      <xdr:rowOff>7938</xdr:rowOff>
    </xdr:to>
    <xdr:sp macro="" textlink="">
      <xdr:nvSpPr>
        <xdr:cNvPr id="7" name="Rectangle 6">
          <a:extLst>
            <a:ext uri="{FF2B5EF4-FFF2-40B4-BE49-F238E27FC236}">
              <a16:creationId xmlns:a16="http://schemas.microsoft.com/office/drawing/2014/main" id="{3AB5B2A1-2002-46BD-8B49-0FA103AF801C}"/>
            </a:ext>
          </a:extLst>
        </xdr:cNvPr>
        <xdr:cNvSpPr/>
      </xdr:nvSpPr>
      <xdr:spPr>
        <a:xfrm>
          <a:off x="4984750" y="4675187"/>
          <a:ext cx="3730626" cy="300037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596899</xdr:colOff>
      <xdr:row>9</xdr:row>
      <xdr:rowOff>7937</xdr:rowOff>
    </xdr:from>
    <xdr:to>
      <xdr:col>8</xdr:col>
      <xdr:colOff>87312</xdr:colOff>
      <xdr:row>25</xdr:row>
      <xdr:rowOff>95250</xdr:rowOff>
    </xdr:to>
    <xdr:sp macro="" textlink="">
      <xdr:nvSpPr>
        <xdr:cNvPr id="8" name="Rectangle 7">
          <a:extLst>
            <a:ext uri="{FF2B5EF4-FFF2-40B4-BE49-F238E27FC236}">
              <a16:creationId xmlns:a16="http://schemas.microsoft.com/office/drawing/2014/main" id="{480A825D-9FD7-451A-9F5C-B073B757B9EB}"/>
            </a:ext>
          </a:extLst>
        </xdr:cNvPr>
        <xdr:cNvSpPr/>
      </xdr:nvSpPr>
      <xdr:spPr>
        <a:xfrm>
          <a:off x="1208087" y="1651000"/>
          <a:ext cx="3768725" cy="300831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190500</xdr:colOff>
      <xdr:row>9</xdr:row>
      <xdr:rowOff>15876</xdr:rowOff>
    </xdr:from>
    <xdr:to>
      <xdr:col>20</xdr:col>
      <xdr:colOff>603251</xdr:colOff>
      <xdr:row>25</xdr:row>
      <xdr:rowOff>31750</xdr:rowOff>
    </xdr:to>
    <xdr:sp macro="" textlink="">
      <xdr:nvSpPr>
        <xdr:cNvPr id="9" name="Rectangle 8">
          <a:extLst>
            <a:ext uri="{FF2B5EF4-FFF2-40B4-BE49-F238E27FC236}">
              <a16:creationId xmlns:a16="http://schemas.microsoft.com/office/drawing/2014/main" id="{68CCA6D7-5AA0-4971-8C93-45A2268329D6}"/>
            </a:ext>
          </a:extLst>
        </xdr:cNvPr>
        <xdr:cNvSpPr/>
      </xdr:nvSpPr>
      <xdr:spPr>
        <a:xfrm>
          <a:off x="8747125" y="1658939"/>
          <a:ext cx="4079876" cy="293687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144461</xdr:colOff>
      <xdr:row>9</xdr:row>
      <xdr:rowOff>31749</xdr:rowOff>
    </xdr:from>
    <xdr:to>
      <xdr:col>14</xdr:col>
      <xdr:colOff>134937</xdr:colOff>
      <xdr:row>25</xdr:row>
      <xdr:rowOff>71436</xdr:rowOff>
    </xdr:to>
    <xdr:sp macro="" textlink="">
      <xdr:nvSpPr>
        <xdr:cNvPr id="10" name="Rectangle 9">
          <a:extLst>
            <a:ext uri="{FF2B5EF4-FFF2-40B4-BE49-F238E27FC236}">
              <a16:creationId xmlns:a16="http://schemas.microsoft.com/office/drawing/2014/main" id="{DADBCD39-F865-43B8-83FD-4D878CFB8221}"/>
            </a:ext>
          </a:extLst>
        </xdr:cNvPr>
        <xdr:cNvSpPr/>
      </xdr:nvSpPr>
      <xdr:spPr>
        <a:xfrm>
          <a:off x="5033961" y="1674812"/>
          <a:ext cx="3657601" cy="296068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603250</xdr:colOff>
      <xdr:row>0</xdr:row>
      <xdr:rowOff>150813</xdr:rowOff>
    </xdr:from>
    <xdr:to>
      <xdr:col>18</xdr:col>
      <xdr:colOff>460375</xdr:colOff>
      <xdr:row>2</xdr:row>
      <xdr:rowOff>166688</xdr:rowOff>
    </xdr:to>
    <xdr:sp macro="" textlink="">
      <xdr:nvSpPr>
        <xdr:cNvPr id="11" name="TextBox 10">
          <a:extLst>
            <a:ext uri="{FF2B5EF4-FFF2-40B4-BE49-F238E27FC236}">
              <a16:creationId xmlns:a16="http://schemas.microsoft.com/office/drawing/2014/main" id="{B8779887-B125-3DC8-9872-C70BFCC5129D}"/>
            </a:ext>
          </a:extLst>
        </xdr:cNvPr>
        <xdr:cNvSpPr txBox="1"/>
      </xdr:nvSpPr>
      <xdr:spPr>
        <a:xfrm>
          <a:off x="1825625" y="150813"/>
          <a:ext cx="96361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2"/>
          <a:r>
            <a:rPr lang="en-US" sz="1100"/>
            <a:t> </a:t>
          </a:r>
          <a:r>
            <a:rPr lang="en-US" sz="2400">
              <a:solidFill>
                <a:schemeClr val="bg1"/>
              </a:solidFill>
            </a:rPr>
            <a:t>Product</a:t>
          </a:r>
          <a:r>
            <a:rPr lang="en-US" sz="2400" baseline="0">
              <a:solidFill>
                <a:schemeClr val="bg1"/>
              </a:solidFill>
            </a:rPr>
            <a:t> performance Dashboard</a:t>
          </a:r>
          <a:endParaRPr lang="en-US" sz="2400">
            <a:solidFill>
              <a:schemeClr val="bg1"/>
            </a:solidFill>
          </a:endParaRPr>
        </a:p>
      </xdr:txBody>
    </xdr:sp>
    <xdr:clientData/>
  </xdr:twoCellAnchor>
  <xdr:twoCellAnchor>
    <xdr:from>
      <xdr:col>1</xdr:col>
      <xdr:colOff>595312</xdr:colOff>
      <xdr:row>3</xdr:row>
      <xdr:rowOff>119063</xdr:rowOff>
    </xdr:from>
    <xdr:to>
      <xdr:col>5</xdr:col>
      <xdr:colOff>293687</xdr:colOff>
      <xdr:row>8</xdr:row>
      <xdr:rowOff>134938</xdr:rowOff>
    </xdr:to>
    <xdr:sp macro="" textlink="'pivot tables'!A2">
      <xdr:nvSpPr>
        <xdr:cNvPr id="12" name="Rectangle: Rounded Corners 11">
          <a:extLst>
            <a:ext uri="{FF2B5EF4-FFF2-40B4-BE49-F238E27FC236}">
              <a16:creationId xmlns:a16="http://schemas.microsoft.com/office/drawing/2014/main" id="{8A1F7D8E-6740-A3F8-296A-6C0763CD5A06}"/>
            </a:ext>
          </a:extLst>
        </xdr:cNvPr>
        <xdr:cNvSpPr/>
      </xdr:nvSpPr>
      <xdr:spPr>
        <a:xfrm>
          <a:off x="1206500" y="666751"/>
          <a:ext cx="2143125" cy="92868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2" algn="l"/>
          <a:endParaRPr lang="en-US" sz="2000" b="0" i="0" u="none" strike="noStrike">
            <a:solidFill>
              <a:srgbClr val="000000"/>
            </a:solidFill>
            <a:latin typeface="Calibri"/>
            <a:ea typeface="Calibri"/>
            <a:cs typeface="Calibri"/>
          </a:endParaRPr>
        </a:p>
        <a:p>
          <a:pPr lvl="1" algn="l"/>
          <a:r>
            <a:rPr lang="en-US" sz="2000" b="0" i="0" u="none" strike="noStrike">
              <a:solidFill>
                <a:srgbClr val="000000"/>
              </a:solidFill>
              <a:latin typeface="Calibri"/>
              <a:ea typeface="Calibri"/>
              <a:cs typeface="Calibri"/>
            </a:rPr>
            <a:t>Shs.</a:t>
          </a:r>
          <a:fld id="{642DFA98-5529-4509-8675-CDEFECA68D85}" type="TxLink">
            <a:rPr lang="en-US" sz="2000" b="0" i="0" u="none" strike="noStrike">
              <a:solidFill>
                <a:srgbClr val="000000"/>
              </a:solidFill>
              <a:latin typeface="Calibri"/>
              <a:ea typeface="Calibri"/>
              <a:cs typeface="Calibri"/>
            </a:rPr>
            <a:pPr lvl="1" algn="l"/>
            <a:t>1187</a:t>
          </a:fld>
          <a:endParaRPr lang="en-US" sz="2000"/>
        </a:p>
      </xdr:txBody>
    </xdr:sp>
    <xdr:clientData/>
  </xdr:twoCellAnchor>
  <xdr:twoCellAnchor>
    <xdr:from>
      <xdr:col>5</xdr:col>
      <xdr:colOff>319087</xdr:colOff>
      <xdr:row>3</xdr:row>
      <xdr:rowOff>120650</xdr:rowOff>
    </xdr:from>
    <xdr:to>
      <xdr:col>9</xdr:col>
      <xdr:colOff>111125</xdr:colOff>
      <xdr:row>8</xdr:row>
      <xdr:rowOff>164224</xdr:rowOff>
    </xdr:to>
    <xdr:sp macro="" textlink="'pivot tables'!B2">
      <xdr:nvSpPr>
        <xdr:cNvPr id="13" name="Rectangle: Rounded Corners 12">
          <a:extLst>
            <a:ext uri="{FF2B5EF4-FFF2-40B4-BE49-F238E27FC236}">
              <a16:creationId xmlns:a16="http://schemas.microsoft.com/office/drawing/2014/main" id="{F40E619E-97EE-4883-B173-AED8DE8B2F3C}"/>
            </a:ext>
          </a:extLst>
        </xdr:cNvPr>
        <xdr:cNvSpPr/>
      </xdr:nvSpPr>
      <xdr:spPr>
        <a:xfrm>
          <a:off x="3548828" y="679012"/>
          <a:ext cx="2244452" cy="97417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1" algn="l"/>
          <a:endParaRPr lang="en-US" sz="2000" b="0" i="0" u="none" strike="noStrike">
            <a:solidFill>
              <a:srgbClr val="000000"/>
            </a:solidFill>
            <a:latin typeface="Calibri"/>
            <a:ea typeface="Calibri"/>
            <a:cs typeface="Calibri"/>
          </a:endParaRPr>
        </a:p>
        <a:p>
          <a:pPr lvl="1" algn="l"/>
          <a:fld id="{A350174C-FE31-433E-9564-2C0B55D40D50}" type="TxLink">
            <a:rPr lang="en-US" sz="2000" b="0" i="0" u="none" strike="noStrike">
              <a:solidFill>
                <a:srgbClr val="000000"/>
              </a:solidFill>
              <a:latin typeface="Calibri"/>
              <a:ea typeface="Calibri"/>
              <a:cs typeface="Calibri"/>
            </a:rPr>
            <a:pPr lvl="1" algn="l"/>
            <a:t>37%</a:t>
          </a:fld>
          <a:endParaRPr lang="en-US" sz="2000"/>
        </a:p>
      </xdr:txBody>
    </xdr:sp>
    <xdr:clientData/>
  </xdr:twoCellAnchor>
  <xdr:twoCellAnchor>
    <xdr:from>
      <xdr:col>9</xdr:col>
      <xdr:colOff>130175</xdr:colOff>
      <xdr:row>3</xdr:row>
      <xdr:rowOff>130174</xdr:rowOff>
    </xdr:from>
    <xdr:to>
      <xdr:col>13</xdr:col>
      <xdr:colOff>31750</xdr:colOff>
      <xdr:row>9</xdr:row>
      <xdr:rowOff>0</xdr:rowOff>
    </xdr:to>
    <xdr:sp macro="" textlink="'pivot tables'!C2">
      <xdr:nvSpPr>
        <xdr:cNvPr id="14" name="Rectangle: Rounded Corners 13">
          <a:extLst>
            <a:ext uri="{FF2B5EF4-FFF2-40B4-BE49-F238E27FC236}">
              <a16:creationId xmlns:a16="http://schemas.microsoft.com/office/drawing/2014/main" id="{8FE98884-1E94-43FC-9A72-6069FC453BA8}"/>
            </a:ext>
          </a:extLst>
        </xdr:cNvPr>
        <xdr:cNvSpPr/>
      </xdr:nvSpPr>
      <xdr:spPr>
        <a:xfrm>
          <a:off x="5812330" y="688536"/>
          <a:ext cx="2353989" cy="9865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b="0" i="0" u="none" strike="noStrike">
            <a:solidFill>
              <a:srgbClr val="000000"/>
            </a:solidFill>
            <a:latin typeface="Calibri"/>
            <a:ea typeface="Calibri"/>
            <a:cs typeface="Calibri"/>
          </a:endParaRPr>
        </a:p>
        <a:p>
          <a:pPr algn="l"/>
          <a:fld id="{EC3DB2ED-8F2E-4DC4-A135-4CDB255CF776}" type="TxLink">
            <a:rPr lang="en-US" sz="2000" b="0" i="0" u="none" strike="noStrike">
              <a:solidFill>
                <a:srgbClr val="000000"/>
              </a:solidFill>
              <a:latin typeface="Calibri"/>
              <a:ea typeface="Calibri"/>
              <a:cs typeface="Calibri"/>
            </a:rPr>
            <a:pPr algn="l"/>
            <a:t>3.89</a:t>
          </a:fld>
          <a:endParaRPr lang="en-US" sz="2000"/>
        </a:p>
      </xdr:txBody>
    </xdr:sp>
    <xdr:clientData/>
  </xdr:twoCellAnchor>
  <xdr:twoCellAnchor>
    <xdr:from>
      <xdr:col>13</xdr:col>
      <xdr:colOff>55562</xdr:colOff>
      <xdr:row>3</xdr:row>
      <xdr:rowOff>123824</xdr:rowOff>
    </xdr:from>
    <xdr:to>
      <xdr:col>17</xdr:col>
      <xdr:colOff>23812</xdr:colOff>
      <xdr:row>8</xdr:row>
      <xdr:rowOff>164224</xdr:rowOff>
    </xdr:to>
    <xdr:sp macro="" textlink="'pivot tables'!D2">
      <xdr:nvSpPr>
        <xdr:cNvPr id="15" name="Rectangle: Rounded Corners 14">
          <a:extLst>
            <a:ext uri="{FF2B5EF4-FFF2-40B4-BE49-F238E27FC236}">
              <a16:creationId xmlns:a16="http://schemas.microsoft.com/office/drawing/2014/main" id="{91068074-519D-4895-9493-F62A3345A9A1}"/>
            </a:ext>
          </a:extLst>
        </xdr:cNvPr>
        <xdr:cNvSpPr/>
      </xdr:nvSpPr>
      <xdr:spPr>
        <a:xfrm>
          <a:off x="8190131" y="682186"/>
          <a:ext cx="2420664" cy="97100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b="0" i="0" u="none" strike="noStrike">
            <a:solidFill>
              <a:srgbClr val="000000"/>
            </a:solidFill>
            <a:latin typeface="Calibri"/>
            <a:ea typeface="Calibri"/>
            <a:cs typeface="Calibri"/>
          </a:endParaRPr>
        </a:p>
        <a:p>
          <a:pPr algn="l"/>
          <a:fld id="{3480D08E-A0A3-4EAA-A4BB-5047E8FB96EE}" type="TxLink">
            <a:rPr lang="en-US" sz="2000" b="0" i="0" u="none" strike="noStrike">
              <a:solidFill>
                <a:srgbClr val="000000"/>
              </a:solidFill>
              <a:latin typeface="Calibri"/>
              <a:ea typeface="Calibri"/>
              <a:cs typeface="Calibri"/>
            </a:rPr>
            <a:pPr algn="l"/>
            <a:t>112</a:t>
          </a:fld>
          <a:endParaRPr lang="en-US" sz="2000"/>
        </a:p>
      </xdr:txBody>
    </xdr:sp>
    <xdr:clientData/>
  </xdr:twoCellAnchor>
  <xdr:twoCellAnchor>
    <xdr:from>
      <xdr:col>17</xdr:col>
      <xdr:colOff>47624</xdr:colOff>
      <xdr:row>3</xdr:row>
      <xdr:rowOff>133350</xdr:rowOff>
    </xdr:from>
    <xdr:to>
      <xdr:col>20</xdr:col>
      <xdr:colOff>603249</xdr:colOff>
      <xdr:row>8</xdr:row>
      <xdr:rowOff>149225</xdr:rowOff>
    </xdr:to>
    <xdr:sp macro="" textlink="'pivot tables'!E2">
      <xdr:nvSpPr>
        <xdr:cNvPr id="16" name="Rectangle: Rounded Corners 15">
          <a:extLst>
            <a:ext uri="{FF2B5EF4-FFF2-40B4-BE49-F238E27FC236}">
              <a16:creationId xmlns:a16="http://schemas.microsoft.com/office/drawing/2014/main" id="{AB26DD96-501D-4A16-9403-F23DC211C674}"/>
            </a:ext>
          </a:extLst>
        </xdr:cNvPr>
        <xdr:cNvSpPr/>
      </xdr:nvSpPr>
      <xdr:spPr>
        <a:xfrm>
          <a:off x="10437812" y="681038"/>
          <a:ext cx="2389187" cy="92868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b="0" i="0" u="none" strike="noStrike">
            <a:solidFill>
              <a:srgbClr val="000000"/>
            </a:solidFill>
            <a:latin typeface="Calibri"/>
            <a:ea typeface="Calibri"/>
            <a:cs typeface="Calibri"/>
          </a:endParaRPr>
        </a:p>
        <a:p>
          <a:pPr algn="l"/>
          <a:fld id="{85D5078C-178D-423B-A005-1C4993E1E222}" type="TxLink">
            <a:rPr lang="en-US" sz="2000" b="0" i="0" u="none" strike="noStrike">
              <a:solidFill>
                <a:srgbClr val="000000"/>
              </a:solidFill>
              <a:latin typeface="Calibri"/>
              <a:ea typeface="Calibri"/>
              <a:cs typeface="Calibri"/>
            </a:rPr>
            <a:pPr algn="l"/>
            <a:t>723</a:t>
          </a:fld>
          <a:endParaRPr lang="en-US" sz="2000"/>
        </a:p>
      </xdr:txBody>
    </xdr:sp>
    <xdr:clientData/>
  </xdr:twoCellAnchor>
  <xdr:twoCellAnchor>
    <xdr:from>
      <xdr:col>2</xdr:col>
      <xdr:colOff>119063</xdr:colOff>
      <xdr:row>3</xdr:row>
      <xdr:rowOff>174624</xdr:rowOff>
    </xdr:from>
    <xdr:to>
      <xdr:col>4</xdr:col>
      <xdr:colOff>531813</xdr:colOff>
      <xdr:row>5</xdr:row>
      <xdr:rowOff>111124</xdr:rowOff>
    </xdr:to>
    <xdr:sp macro="" textlink="">
      <xdr:nvSpPr>
        <xdr:cNvPr id="17" name="TextBox 16">
          <a:extLst>
            <a:ext uri="{FF2B5EF4-FFF2-40B4-BE49-F238E27FC236}">
              <a16:creationId xmlns:a16="http://schemas.microsoft.com/office/drawing/2014/main" id="{CF94E74F-DC00-D3DF-F148-E23FD6885937}"/>
            </a:ext>
          </a:extLst>
        </xdr:cNvPr>
        <xdr:cNvSpPr txBox="1"/>
      </xdr:nvSpPr>
      <xdr:spPr>
        <a:xfrm>
          <a:off x="1341438" y="722312"/>
          <a:ext cx="1635125" cy="3016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Average price</a:t>
          </a:r>
        </a:p>
        <a:p>
          <a:endParaRPr lang="en-US" sz="1100"/>
        </a:p>
      </xdr:txBody>
    </xdr:sp>
    <xdr:clientData/>
  </xdr:twoCellAnchor>
  <xdr:twoCellAnchor>
    <xdr:from>
      <xdr:col>13</xdr:col>
      <xdr:colOff>239713</xdr:colOff>
      <xdr:row>4</xdr:row>
      <xdr:rowOff>9524</xdr:rowOff>
    </xdr:from>
    <xdr:to>
      <xdr:col>16</xdr:col>
      <xdr:colOff>41276</xdr:colOff>
      <xdr:row>5</xdr:row>
      <xdr:rowOff>128586</xdr:rowOff>
    </xdr:to>
    <xdr:sp macro="" textlink="">
      <xdr:nvSpPr>
        <xdr:cNvPr id="18" name="TextBox 17">
          <a:extLst>
            <a:ext uri="{FF2B5EF4-FFF2-40B4-BE49-F238E27FC236}">
              <a16:creationId xmlns:a16="http://schemas.microsoft.com/office/drawing/2014/main" id="{4363A05E-77D4-4149-9FA1-B371DED1ACE4}"/>
            </a:ext>
          </a:extLst>
        </xdr:cNvPr>
        <xdr:cNvSpPr txBox="1"/>
      </xdr:nvSpPr>
      <xdr:spPr>
        <a:xfrm>
          <a:off x="8185151" y="739774"/>
          <a:ext cx="1635125" cy="3016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Products</a:t>
          </a:r>
        </a:p>
        <a:p>
          <a:endParaRPr lang="en-US" sz="1100"/>
        </a:p>
      </xdr:txBody>
    </xdr:sp>
    <xdr:clientData/>
  </xdr:twoCellAnchor>
  <xdr:twoCellAnchor>
    <xdr:from>
      <xdr:col>9</xdr:col>
      <xdr:colOff>280987</xdr:colOff>
      <xdr:row>4</xdr:row>
      <xdr:rowOff>11112</xdr:rowOff>
    </xdr:from>
    <xdr:to>
      <xdr:col>12</xdr:col>
      <xdr:colOff>82550</xdr:colOff>
      <xdr:row>5</xdr:row>
      <xdr:rowOff>130174</xdr:rowOff>
    </xdr:to>
    <xdr:sp macro="" textlink="">
      <xdr:nvSpPr>
        <xdr:cNvPr id="19" name="TextBox 18">
          <a:extLst>
            <a:ext uri="{FF2B5EF4-FFF2-40B4-BE49-F238E27FC236}">
              <a16:creationId xmlns:a16="http://schemas.microsoft.com/office/drawing/2014/main" id="{5200D0FC-E3E7-42B8-8A7D-7ECDEAA5DB05}"/>
            </a:ext>
          </a:extLst>
        </xdr:cNvPr>
        <xdr:cNvSpPr txBox="1"/>
      </xdr:nvSpPr>
      <xdr:spPr>
        <a:xfrm>
          <a:off x="5781675" y="741362"/>
          <a:ext cx="1635125" cy="3016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Average Rating</a:t>
          </a:r>
        </a:p>
        <a:p>
          <a:endParaRPr lang="en-US" sz="1100"/>
        </a:p>
      </xdr:txBody>
    </xdr:sp>
    <xdr:clientData/>
  </xdr:twoCellAnchor>
  <xdr:twoCellAnchor>
    <xdr:from>
      <xdr:col>6</xdr:col>
      <xdr:colOff>4763</xdr:colOff>
      <xdr:row>4</xdr:row>
      <xdr:rowOff>12699</xdr:rowOff>
    </xdr:from>
    <xdr:to>
      <xdr:col>8</xdr:col>
      <xdr:colOff>417513</xdr:colOff>
      <xdr:row>5</xdr:row>
      <xdr:rowOff>131761</xdr:rowOff>
    </xdr:to>
    <xdr:sp macro="" textlink="">
      <xdr:nvSpPr>
        <xdr:cNvPr id="20" name="TextBox 19">
          <a:extLst>
            <a:ext uri="{FF2B5EF4-FFF2-40B4-BE49-F238E27FC236}">
              <a16:creationId xmlns:a16="http://schemas.microsoft.com/office/drawing/2014/main" id="{762C0530-ABEB-41F2-B3D6-0B57ADB5932A}"/>
            </a:ext>
          </a:extLst>
        </xdr:cNvPr>
        <xdr:cNvSpPr txBox="1"/>
      </xdr:nvSpPr>
      <xdr:spPr>
        <a:xfrm>
          <a:off x="3671888" y="742949"/>
          <a:ext cx="1635125" cy="3016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Average Discount</a:t>
          </a:r>
          <a:r>
            <a:rPr lang="en-US" sz="1100" baseline="0"/>
            <a:t> </a:t>
          </a:r>
          <a:endParaRPr lang="en-US" sz="1100"/>
        </a:p>
        <a:p>
          <a:endParaRPr lang="en-US" sz="1100"/>
        </a:p>
      </xdr:txBody>
    </xdr:sp>
    <xdr:clientData/>
  </xdr:twoCellAnchor>
  <xdr:twoCellAnchor>
    <xdr:from>
      <xdr:col>17</xdr:col>
      <xdr:colOff>352426</xdr:colOff>
      <xdr:row>4</xdr:row>
      <xdr:rowOff>34924</xdr:rowOff>
    </xdr:from>
    <xdr:to>
      <xdr:col>20</xdr:col>
      <xdr:colOff>153989</xdr:colOff>
      <xdr:row>5</xdr:row>
      <xdr:rowOff>153986</xdr:rowOff>
    </xdr:to>
    <xdr:sp macro="" textlink="">
      <xdr:nvSpPr>
        <xdr:cNvPr id="21" name="TextBox 20">
          <a:extLst>
            <a:ext uri="{FF2B5EF4-FFF2-40B4-BE49-F238E27FC236}">
              <a16:creationId xmlns:a16="http://schemas.microsoft.com/office/drawing/2014/main" id="{78731C48-D776-46A1-A4AB-474D9342D0E3}"/>
            </a:ext>
          </a:extLst>
        </xdr:cNvPr>
        <xdr:cNvSpPr txBox="1"/>
      </xdr:nvSpPr>
      <xdr:spPr>
        <a:xfrm>
          <a:off x="10742614" y="765174"/>
          <a:ext cx="1635125" cy="3016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a:t>
          </a:r>
          <a:r>
            <a:rPr lang="en-US" sz="1100" baseline="0"/>
            <a:t> Reviews</a:t>
          </a:r>
          <a:endParaRPr lang="en-US" sz="1100"/>
        </a:p>
        <a:p>
          <a:endParaRPr lang="en-US" sz="1100"/>
        </a:p>
        <a:p>
          <a:endParaRPr lang="en-US" sz="1100"/>
        </a:p>
      </xdr:txBody>
    </xdr:sp>
    <xdr:clientData/>
  </xdr:twoCellAnchor>
  <xdr:twoCellAnchor editAs="oneCell">
    <xdr:from>
      <xdr:col>8</xdr:col>
      <xdr:colOff>134938</xdr:colOff>
      <xdr:row>10</xdr:row>
      <xdr:rowOff>166689</xdr:rowOff>
    </xdr:from>
    <xdr:to>
      <xdr:col>14</xdr:col>
      <xdr:colOff>142875</xdr:colOff>
      <xdr:row>25</xdr:row>
      <xdr:rowOff>87313</xdr:rowOff>
    </xdr:to>
    <xdr:pic>
      <xdr:nvPicPr>
        <xdr:cNvPr id="23" name="Picture 22">
          <a:extLst>
            <a:ext uri="{FF2B5EF4-FFF2-40B4-BE49-F238E27FC236}">
              <a16:creationId xmlns:a16="http://schemas.microsoft.com/office/drawing/2014/main" id="{966376CD-715A-38EE-A23D-BA7B785C51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24438" y="1992314"/>
          <a:ext cx="3675062" cy="26590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206375</xdr:colOff>
      <xdr:row>10</xdr:row>
      <xdr:rowOff>174625</xdr:rowOff>
    </xdr:from>
    <xdr:to>
      <xdr:col>20</xdr:col>
      <xdr:colOff>571500</xdr:colOff>
      <xdr:row>25</xdr:row>
      <xdr:rowOff>15874</xdr:rowOff>
    </xdr:to>
    <xdr:pic>
      <xdr:nvPicPr>
        <xdr:cNvPr id="24" name="Picture 23">
          <a:extLst>
            <a:ext uri="{FF2B5EF4-FFF2-40B4-BE49-F238E27FC236}">
              <a16:creationId xmlns:a16="http://schemas.microsoft.com/office/drawing/2014/main" id="{E1D32B97-0BDF-3A12-8B4D-6FB167608C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763000" y="2000250"/>
          <a:ext cx="4032250" cy="25796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222251</xdr:colOff>
      <xdr:row>9</xdr:row>
      <xdr:rowOff>-1</xdr:rowOff>
    </xdr:from>
    <xdr:to>
      <xdr:col>7</xdr:col>
      <xdr:colOff>341313</xdr:colOff>
      <xdr:row>10</xdr:row>
      <xdr:rowOff>79374</xdr:rowOff>
    </xdr:to>
    <xdr:sp macro="" textlink="">
      <xdr:nvSpPr>
        <xdr:cNvPr id="25" name="TextBox 24">
          <a:extLst>
            <a:ext uri="{FF2B5EF4-FFF2-40B4-BE49-F238E27FC236}">
              <a16:creationId xmlns:a16="http://schemas.microsoft.com/office/drawing/2014/main" id="{A1D78AFB-30C4-8964-D868-EEBC11F56CC4}"/>
            </a:ext>
          </a:extLst>
        </xdr:cNvPr>
        <xdr:cNvSpPr txBox="1"/>
      </xdr:nvSpPr>
      <xdr:spPr>
        <a:xfrm>
          <a:off x="1444626" y="1643062"/>
          <a:ext cx="3175000" cy="2619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Top 10 products by Discount</a:t>
          </a:r>
        </a:p>
      </xdr:txBody>
    </xdr:sp>
    <xdr:clientData/>
  </xdr:twoCellAnchor>
  <xdr:twoCellAnchor>
    <xdr:from>
      <xdr:col>8</xdr:col>
      <xdr:colOff>246063</xdr:colOff>
      <xdr:row>9</xdr:row>
      <xdr:rowOff>87312</xdr:rowOff>
    </xdr:from>
    <xdr:to>
      <xdr:col>13</xdr:col>
      <xdr:colOff>444500</xdr:colOff>
      <xdr:row>10</xdr:row>
      <xdr:rowOff>142875</xdr:rowOff>
    </xdr:to>
    <xdr:sp macro="" textlink="">
      <xdr:nvSpPr>
        <xdr:cNvPr id="26" name="TextBox 25">
          <a:extLst>
            <a:ext uri="{FF2B5EF4-FFF2-40B4-BE49-F238E27FC236}">
              <a16:creationId xmlns:a16="http://schemas.microsoft.com/office/drawing/2014/main" id="{2562FA06-3689-A2CF-B617-B74BA72FBBA2}"/>
            </a:ext>
          </a:extLst>
        </xdr:cNvPr>
        <xdr:cNvSpPr txBox="1"/>
      </xdr:nvSpPr>
      <xdr:spPr>
        <a:xfrm>
          <a:off x="5135563" y="1730375"/>
          <a:ext cx="3254375"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Top 10 products</a:t>
          </a:r>
          <a:r>
            <a:rPr lang="en-US" sz="1400" baseline="0"/>
            <a:t> by Reviews</a:t>
          </a:r>
        </a:p>
        <a:p>
          <a:endParaRPr lang="en-US" sz="1100"/>
        </a:p>
      </xdr:txBody>
    </xdr:sp>
    <xdr:clientData/>
  </xdr:twoCellAnchor>
  <xdr:twoCellAnchor>
    <xdr:from>
      <xdr:col>14</xdr:col>
      <xdr:colOff>333375</xdr:colOff>
      <xdr:row>9</xdr:row>
      <xdr:rowOff>31751</xdr:rowOff>
    </xdr:from>
    <xdr:to>
      <xdr:col>20</xdr:col>
      <xdr:colOff>277813</xdr:colOff>
      <xdr:row>10</xdr:row>
      <xdr:rowOff>174625</xdr:rowOff>
    </xdr:to>
    <xdr:sp macro="" textlink="">
      <xdr:nvSpPr>
        <xdr:cNvPr id="27" name="TextBox 26">
          <a:extLst>
            <a:ext uri="{FF2B5EF4-FFF2-40B4-BE49-F238E27FC236}">
              <a16:creationId xmlns:a16="http://schemas.microsoft.com/office/drawing/2014/main" id="{9A3B5CB4-D4CD-F046-EACB-CA857D00E875}"/>
            </a:ext>
          </a:extLst>
        </xdr:cNvPr>
        <xdr:cNvSpPr txBox="1"/>
      </xdr:nvSpPr>
      <xdr:spPr>
        <a:xfrm>
          <a:off x="8890000" y="1674814"/>
          <a:ext cx="3611563" cy="3254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Top 10 products by Ratings</a:t>
          </a:r>
        </a:p>
        <a:p>
          <a:endParaRPr lang="en-US" sz="1100"/>
        </a:p>
      </xdr:txBody>
    </xdr:sp>
    <xdr:clientData/>
  </xdr:twoCellAnchor>
  <xdr:twoCellAnchor>
    <xdr:from>
      <xdr:col>1</xdr:col>
      <xdr:colOff>571500</xdr:colOff>
      <xdr:row>25</xdr:row>
      <xdr:rowOff>127000</xdr:rowOff>
    </xdr:from>
    <xdr:to>
      <xdr:col>8</xdr:col>
      <xdr:colOff>15876</xdr:colOff>
      <xdr:row>41</xdr:row>
      <xdr:rowOff>23812</xdr:rowOff>
    </xdr:to>
    <xdr:graphicFrame macro="">
      <xdr:nvGraphicFramePr>
        <xdr:cNvPr id="28" name="Chart 27">
          <a:extLst>
            <a:ext uri="{FF2B5EF4-FFF2-40B4-BE49-F238E27FC236}">
              <a16:creationId xmlns:a16="http://schemas.microsoft.com/office/drawing/2014/main" id="{0156B421-BB21-4300-AB92-354EE3BDE1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134936</xdr:colOff>
      <xdr:row>26</xdr:row>
      <xdr:rowOff>0</xdr:rowOff>
    </xdr:from>
    <xdr:to>
      <xdr:col>14</xdr:col>
      <xdr:colOff>182562</xdr:colOff>
      <xdr:row>41</xdr:row>
      <xdr:rowOff>147637</xdr:rowOff>
    </xdr:to>
    <xdr:graphicFrame macro="">
      <xdr:nvGraphicFramePr>
        <xdr:cNvPr id="29" name="Chart 28">
          <a:extLst>
            <a:ext uri="{FF2B5EF4-FFF2-40B4-BE49-F238E27FC236}">
              <a16:creationId xmlns:a16="http://schemas.microsoft.com/office/drawing/2014/main" id="{BC01AF05-196A-46D1-9472-16AA296462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500063</xdr:colOff>
      <xdr:row>25</xdr:row>
      <xdr:rowOff>150811</xdr:rowOff>
    </xdr:from>
    <xdr:to>
      <xdr:col>13</xdr:col>
      <xdr:colOff>293688</xdr:colOff>
      <xdr:row>27</xdr:row>
      <xdr:rowOff>95249</xdr:rowOff>
    </xdr:to>
    <xdr:sp macro="" textlink="">
      <xdr:nvSpPr>
        <xdr:cNvPr id="30" name="TextBox 29">
          <a:extLst>
            <a:ext uri="{FF2B5EF4-FFF2-40B4-BE49-F238E27FC236}">
              <a16:creationId xmlns:a16="http://schemas.microsoft.com/office/drawing/2014/main" id="{A4A174BD-5BAE-09AE-787B-46728ADFB2E1}"/>
            </a:ext>
          </a:extLst>
        </xdr:cNvPr>
        <xdr:cNvSpPr txBox="1"/>
      </xdr:nvSpPr>
      <xdr:spPr>
        <a:xfrm>
          <a:off x="5389563" y="4714874"/>
          <a:ext cx="2849563" cy="3095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Products by Dicount_category</a:t>
          </a:r>
        </a:p>
        <a:p>
          <a:endParaRPr lang="en-US" sz="1100"/>
        </a:p>
      </xdr:txBody>
    </xdr:sp>
    <xdr:clientData/>
  </xdr:twoCellAnchor>
  <xdr:twoCellAnchor>
    <xdr:from>
      <xdr:col>14</xdr:col>
      <xdr:colOff>579438</xdr:colOff>
      <xdr:row>25</xdr:row>
      <xdr:rowOff>150812</xdr:rowOff>
    </xdr:from>
    <xdr:to>
      <xdr:col>20</xdr:col>
      <xdr:colOff>396875</xdr:colOff>
      <xdr:row>27</xdr:row>
      <xdr:rowOff>31750</xdr:rowOff>
    </xdr:to>
    <xdr:sp macro="" textlink="">
      <xdr:nvSpPr>
        <xdr:cNvPr id="32" name="TextBox 31">
          <a:extLst>
            <a:ext uri="{FF2B5EF4-FFF2-40B4-BE49-F238E27FC236}">
              <a16:creationId xmlns:a16="http://schemas.microsoft.com/office/drawing/2014/main" id="{5DE0594B-C763-7D68-A124-FC76F4F54153}"/>
            </a:ext>
          </a:extLst>
        </xdr:cNvPr>
        <xdr:cNvSpPr txBox="1"/>
      </xdr:nvSpPr>
      <xdr:spPr>
        <a:xfrm>
          <a:off x="9136063" y="4714875"/>
          <a:ext cx="3484562" cy="2460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rPr>
            <a:t>Product</a:t>
          </a:r>
          <a:r>
            <a:rPr lang="en-US" sz="1100" baseline="0">
              <a:solidFill>
                <a:schemeClr val="dk1"/>
              </a:solidFill>
            </a:rPr>
            <a:t>s by Price_cTEGORY</a:t>
          </a:r>
          <a:endParaRPr lang="en-US" sz="1100">
            <a:solidFill>
              <a:schemeClr val="accent2">
                <a:lumMod val="50000"/>
              </a:schemeClr>
            </a:solidFill>
          </a:endParaRPr>
        </a:p>
      </xdr:txBody>
    </xdr:sp>
    <xdr:clientData/>
  </xdr:twoCellAnchor>
  <xdr:twoCellAnchor editAs="oneCell">
    <xdr:from>
      <xdr:col>2</xdr:col>
      <xdr:colOff>31750</xdr:colOff>
      <xdr:row>10</xdr:row>
      <xdr:rowOff>95250</xdr:rowOff>
    </xdr:from>
    <xdr:to>
      <xdr:col>8</xdr:col>
      <xdr:colOff>119063</xdr:colOff>
      <xdr:row>25</xdr:row>
      <xdr:rowOff>95250</xdr:rowOff>
    </xdr:to>
    <xdr:pic>
      <xdr:nvPicPr>
        <xdr:cNvPr id="33" name="Picture 32">
          <a:extLst>
            <a:ext uri="{FF2B5EF4-FFF2-40B4-BE49-F238E27FC236}">
              <a16:creationId xmlns:a16="http://schemas.microsoft.com/office/drawing/2014/main" id="{BAB14420-2F90-B721-2697-CC65B19074B3}"/>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54125" y="1920875"/>
          <a:ext cx="3754438" cy="27384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7938</xdr:colOff>
      <xdr:row>16</xdr:row>
      <xdr:rowOff>150813</xdr:rowOff>
    </xdr:from>
    <xdr:to>
      <xdr:col>1</xdr:col>
      <xdr:colOff>531812</xdr:colOff>
      <xdr:row>23</xdr:row>
      <xdr:rowOff>166687</xdr:rowOff>
    </xdr:to>
    <mc:AlternateContent xmlns:mc="http://schemas.openxmlformats.org/markup-compatibility/2006" xmlns:a14="http://schemas.microsoft.com/office/drawing/2010/main">
      <mc:Choice Requires="a14">
        <xdr:graphicFrame macro="">
          <xdr:nvGraphicFramePr>
            <xdr:cNvPr id="35" name="Discount_category">
              <a:extLst>
                <a:ext uri="{FF2B5EF4-FFF2-40B4-BE49-F238E27FC236}">
                  <a16:creationId xmlns:a16="http://schemas.microsoft.com/office/drawing/2014/main" id="{72E5072E-3A2A-42E7-BDF8-D098C04940B1}"/>
                </a:ext>
              </a:extLst>
            </xdr:cNvPr>
            <xdr:cNvGraphicFramePr/>
          </xdr:nvGraphicFramePr>
          <xdr:xfrm>
            <a:off x="0" y="0"/>
            <a:ext cx="0" cy="0"/>
          </xdr:xfrm>
          <a:graphic>
            <a:graphicData uri="http://schemas.microsoft.com/office/drawing/2010/slicer">
              <sle:slicer xmlns:sle="http://schemas.microsoft.com/office/drawing/2010/slicer" name="Discount_category"/>
            </a:graphicData>
          </a:graphic>
        </xdr:graphicFrame>
      </mc:Choice>
      <mc:Fallback xmlns="">
        <xdr:sp macro="" textlink="">
          <xdr:nvSpPr>
            <xdr:cNvPr id="0" name=""/>
            <xdr:cNvSpPr>
              <a:spLocks noTextEdit="1"/>
            </xdr:cNvSpPr>
          </xdr:nvSpPr>
          <xdr:spPr>
            <a:xfrm>
              <a:off x="7938" y="3016454"/>
              <a:ext cx="1126310" cy="12695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7936</xdr:rowOff>
    </xdr:from>
    <xdr:to>
      <xdr:col>1</xdr:col>
      <xdr:colOff>547687</xdr:colOff>
      <xdr:row>15</xdr:row>
      <xdr:rowOff>158749</xdr:rowOff>
    </xdr:to>
    <mc:AlternateContent xmlns:mc="http://schemas.openxmlformats.org/markup-compatibility/2006" xmlns:a14="http://schemas.microsoft.com/office/drawing/2010/main">
      <mc:Choice Requires="a14">
        <xdr:graphicFrame macro="">
          <xdr:nvGraphicFramePr>
            <xdr:cNvPr id="36" name="Rating_category 1">
              <a:extLst>
                <a:ext uri="{FF2B5EF4-FFF2-40B4-BE49-F238E27FC236}">
                  <a16:creationId xmlns:a16="http://schemas.microsoft.com/office/drawing/2014/main" id="{5C07A2A8-8F50-43FE-87B0-05BF917BBA8A}"/>
                </a:ext>
              </a:extLst>
            </xdr:cNvPr>
            <xdr:cNvGraphicFramePr/>
          </xdr:nvGraphicFramePr>
          <xdr:xfrm>
            <a:off x="0" y="0"/>
            <a:ext cx="0" cy="0"/>
          </xdr:xfrm>
          <a:graphic>
            <a:graphicData uri="http://schemas.microsoft.com/office/drawing/2010/slicer">
              <sle:slicer xmlns:sle="http://schemas.microsoft.com/office/drawing/2010/slicer" name="Rating_category 1"/>
            </a:graphicData>
          </a:graphic>
        </xdr:graphicFrame>
      </mc:Choice>
      <mc:Fallback xmlns="">
        <xdr:sp macro="" textlink="">
          <xdr:nvSpPr>
            <xdr:cNvPr id="0" name=""/>
            <xdr:cNvSpPr>
              <a:spLocks noTextEdit="1"/>
            </xdr:cNvSpPr>
          </xdr:nvSpPr>
          <xdr:spPr>
            <a:xfrm>
              <a:off x="0" y="1619859"/>
              <a:ext cx="1150123" cy="12254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31750</xdr:rowOff>
    </xdr:from>
    <xdr:to>
      <xdr:col>1</xdr:col>
      <xdr:colOff>523876</xdr:colOff>
      <xdr:row>7</xdr:row>
      <xdr:rowOff>111125</xdr:rowOff>
    </xdr:to>
    <mc:AlternateContent xmlns:mc="http://schemas.openxmlformats.org/markup-compatibility/2006" xmlns:a14="http://schemas.microsoft.com/office/drawing/2010/main">
      <mc:Choice Requires="a14">
        <xdr:graphicFrame macro="">
          <xdr:nvGraphicFramePr>
            <xdr:cNvPr id="37" name="price_category">
              <a:extLst>
                <a:ext uri="{FF2B5EF4-FFF2-40B4-BE49-F238E27FC236}">
                  <a16:creationId xmlns:a16="http://schemas.microsoft.com/office/drawing/2014/main" id="{AF94FF2C-22E1-4242-9876-DB355B1807E5}"/>
                </a:ext>
              </a:extLst>
            </xdr:cNvPr>
            <xdr:cNvGraphicFramePr/>
          </xdr:nvGraphicFramePr>
          <xdr:xfrm>
            <a:off x="0" y="0"/>
            <a:ext cx="0" cy="0"/>
          </xdr:xfrm>
          <a:graphic>
            <a:graphicData uri="http://schemas.microsoft.com/office/drawing/2010/slicer">
              <sle:slicer xmlns:sle="http://schemas.microsoft.com/office/drawing/2010/slicer" name="price_category"/>
            </a:graphicData>
          </a:graphic>
        </xdr:graphicFrame>
      </mc:Choice>
      <mc:Fallback xmlns="">
        <xdr:sp macro="" textlink="">
          <xdr:nvSpPr>
            <xdr:cNvPr id="0" name=""/>
            <xdr:cNvSpPr>
              <a:spLocks noTextEdit="1"/>
            </xdr:cNvSpPr>
          </xdr:nvSpPr>
          <xdr:spPr>
            <a:xfrm>
              <a:off x="0" y="31750"/>
              <a:ext cx="1126312" cy="13330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240863</xdr:colOff>
      <xdr:row>27</xdr:row>
      <xdr:rowOff>54740</xdr:rowOff>
    </xdr:from>
    <xdr:to>
      <xdr:col>20</xdr:col>
      <xdr:colOff>547414</xdr:colOff>
      <xdr:row>42</xdr:row>
      <xdr:rowOff>6130</xdr:rowOff>
    </xdr:to>
    <xdr:graphicFrame macro="">
      <xdr:nvGraphicFramePr>
        <xdr:cNvPr id="38" name="Chart 37">
          <a:extLst>
            <a:ext uri="{FF2B5EF4-FFF2-40B4-BE49-F238E27FC236}">
              <a16:creationId xmlns:a16="http://schemas.microsoft.com/office/drawing/2014/main" id="{4AF46271-8ECE-4283-A5FB-576F4673C4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558362</xdr:colOff>
      <xdr:row>42</xdr:row>
      <xdr:rowOff>10947</xdr:rowOff>
    </xdr:from>
    <xdr:to>
      <xdr:col>8</xdr:col>
      <xdr:colOff>54741</xdr:colOff>
      <xdr:row>63</xdr:row>
      <xdr:rowOff>175172</xdr:rowOff>
    </xdr:to>
    <xdr:sp macro="" textlink="">
      <xdr:nvSpPr>
        <xdr:cNvPr id="39" name="Rectangle 38">
          <a:extLst>
            <a:ext uri="{FF2B5EF4-FFF2-40B4-BE49-F238E27FC236}">
              <a16:creationId xmlns:a16="http://schemas.microsoft.com/office/drawing/2014/main" id="{C220BA68-D091-B09C-62EE-FEFBD7D381E7}"/>
            </a:ext>
          </a:extLst>
        </xdr:cNvPr>
        <xdr:cNvSpPr/>
      </xdr:nvSpPr>
      <xdr:spPr>
        <a:xfrm>
          <a:off x="1171465" y="7828016"/>
          <a:ext cx="3952328" cy="407275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360417</xdr:colOff>
      <xdr:row>42</xdr:row>
      <xdr:rowOff>75762</xdr:rowOff>
    </xdr:from>
    <xdr:to>
      <xdr:col>21</xdr:col>
      <xdr:colOff>21020</xdr:colOff>
      <xdr:row>63</xdr:row>
      <xdr:rowOff>164225</xdr:rowOff>
    </xdr:to>
    <xdr:sp macro="" textlink="">
      <xdr:nvSpPr>
        <xdr:cNvPr id="40" name="Rectangle 39">
          <a:extLst>
            <a:ext uri="{FF2B5EF4-FFF2-40B4-BE49-F238E27FC236}">
              <a16:creationId xmlns:a16="http://schemas.microsoft.com/office/drawing/2014/main" id="{8F8BC913-A03F-4882-B24B-94B62BB05CB5}"/>
            </a:ext>
          </a:extLst>
        </xdr:cNvPr>
        <xdr:cNvSpPr/>
      </xdr:nvSpPr>
      <xdr:spPr>
        <a:xfrm>
          <a:off x="9108089" y="7892831"/>
          <a:ext cx="3952328" cy="3996997"/>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85834</xdr:colOff>
      <xdr:row>42</xdr:row>
      <xdr:rowOff>52990</xdr:rowOff>
    </xdr:from>
    <xdr:to>
      <xdr:col>14</xdr:col>
      <xdr:colOff>359542</xdr:colOff>
      <xdr:row>63</xdr:row>
      <xdr:rowOff>162443</xdr:rowOff>
    </xdr:to>
    <xdr:sp macro="" textlink="">
      <xdr:nvSpPr>
        <xdr:cNvPr id="41" name="Rectangle 40">
          <a:extLst>
            <a:ext uri="{FF2B5EF4-FFF2-40B4-BE49-F238E27FC236}">
              <a16:creationId xmlns:a16="http://schemas.microsoft.com/office/drawing/2014/main" id="{8DD015B0-0345-4C89-8600-135B249595FC}"/>
            </a:ext>
          </a:extLst>
        </xdr:cNvPr>
        <xdr:cNvSpPr/>
      </xdr:nvSpPr>
      <xdr:spPr>
        <a:xfrm>
          <a:off x="5151067" y="7805897"/>
          <a:ext cx="3950801" cy="398590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558362</xdr:colOff>
      <xdr:row>44</xdr:row>
      <xdr:rowOff>10949</xdr:rowOff>
    </xdr:from>
    <xdr:to>
      <xdr:col>8</xdr:col>
      <xdr:colOff>54740</xdr:colOff>
      <xdr:row>63</xdr:row>
      <xdr:rowOff>87587</xdr:rowOff>
    </xdr:to>
    <xdr:graphicFrame macro="">
      <xdr:nvGraphicFramePr>
        <xdr:cNvPr id="43" name="Chart 42">
          <a:extLst>
            <a:ext uri="{FF2B5EF4-FFF2-40B4-BE49-F238E27FC236}">
              <a16:creationId xmlns:a16="http://schemas.microsoft.com/office/drawing/2014/main" id="{F397A118-80FF-469A-B252-073F7CF7CE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262759</xdr:colOff>
      <xdr:row>42</xdr:row>
      <xdr:rowOff>164224</xdr:rowOff>
    </xdr:from>
    <xdr:to>
      <xdr:col>6</xdr:col>
      <xdr:colOff>284655</xdr:colOff>
      <xdr:row>44</xdr:row>
      <xdr:rowOff>76638</xdr:rowOff>
    </xdr:to>
    <xdr:sp macro="" textlink="">
      <xdr:nvSpPr>
        <xdr:cNvPr id="44" name="TextBox 43">
          <a:extLst>
            <a:ext uri="{FF2B5EF4-FFF2-40B4-BE49-F238E27FC236}">
              <a16:creationId xmlns:a16="http://schemas.microsoft.com/office/drawing/2014/main" id="{D036C3D9-98B4-32A2-C2A9-5E3E196CB8D8}"/>
            </a:ext>
          </a:extLst>
        </xdr:cNvPr>
        <xdr:cNvSpPr txBox="1"/>
      </xdr:nvSpPr>
      <xdr:spPr>
        <a:xfrm>
          <a:off x="1653190" y="7981293"/>
          <a:ext cx="2474310" cy="2846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n-US" sz="1200" baseline="0"/>
            <a:t>Discount Vs Reviews</a:t>
          </a:r>
          <a:endParaRPr lang="en-US" sz="1200"/>
        </a:p>
      </xdr:txBody>
    </xdr:sp>
    <xdr:clientData/>
  </xdr:twoCellAnchor>
  <xdr:twoCellAnchor>
    <xdr:from>
      <xdr:col>8</xdr:col>
      <xdr:colOff>65690</xdr:colOff>
      <xdr:row>44</xdr:row>
      <xdr:rowOff>36919</xdr:rowOff>
    </xdr:from>
    <xdr:to>
      <xdr:col>14</xdr:col>
      <xdr:colOff>317500</xdr:colOff>
      <xdr:row>63</xdr:row>
      <xdr:rowOff>125524</xdr:rowOff>
    </xdr:to>
    <xdr:graphicFrame macro="">
      <xdr:nvGraphicFramePr>
        <xdr:cNvPr id="45" name="Chart 44">
          <a:extLst>
            <a:ext uri="{FF2B5EF4-FFF2-40B4-BE49-F238E27FC236}">
              <a16:creationId xmlns:a16="http://schemas.microsoft.com/office/drawing/2014/main" id="{29C46831-C884-4427-B5CB-F723CC4946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361293</xdr:colOff>
      <xdr:row>42</xdr:row>
      <xdr:rowOff>142327</xdr:rowOff>
    </xdr:from>
    <xdr:to>
      <xdr:col>13</xdr:col>
      <xdr:colOff>437931</xdr:colOff>
      <xdr:row>44</xdr:row>
      <xdr:rowOff>54741</xdr:rowOff>
    </xdr:to>
    <xdr:sp macro="" textlink="">
      <xdr:nvSpPr>
        <xdr:cNvPr id="46" name="TextBox 45">
          <a:extLst>
            <a:ext uri="{FF2B5EF4-FFF2-40B4-BE49-F238E27FC236}">
              <a16:creationId xmlns:a16="http://schemas.microsoft.com/office/drawing/2014/main" id="{E4055BC1-96F8-F834-878C-ECA5F34DE41E}"/>
            </a:ext>
          </a:extLst>
        </xdr:cNvPr>
        <xdr:cNvSpPr txBox="1"/>
      </xdr:nvSpPr>
      <xdr:spPr>
        <a:xfrm>
          <a:off x="5430345" y="7959396"/>
          <a:ext cx="3142155" cy="2846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Ratings</a:t>
          </a:r>
          <a:r>
            <a:rPr lang="en-US" sz="1400" baseline="0"/>
            <a:t> Vs Reviews</a:t>
          </a:r>
          <a:endParaRPr lang="en-US" sz="1400"/>
        </a:p>
      </xdr:txBody>
    </xdr:sp>
    <xdr:clientData/>
  </xdr:twoCellAnchor>
  <xdr:twoCellAnchor>
    <xdr:from>
      <xdr:col>14</xdr:col>
      <xdr:colOff>339398</xdr:colOff>
      <xdr:row>44</xdr:row>
      <xdr:rowOff>22151</xdr:rowOff>
    </xdr:from>
    <xdr:to>
      <xdr:col>21</xdr:col>
      <xdr:colOff>44303</xdr:colOff>
      <xdr:row>64</xdr:row>
      <xdr:rowOff>21896</xdr:rowOff>
    </xdr:to>
    <xdr:graphicFrame macro="">
      <xdr:nvGraphicFramePr>
        <xdr:cNvPr id="47" name="Chart 46">
          <a:extLst>
            <a:ext uri="{FF2B5EF4-FFF2-40B4-BE49-F238E27FC236}">
              <a16:creationId xmlns:a16="http://schemas.microsoft.com/office/drawing/2014/main" id="{EE536381-FD1D-437E-940F-5EC0380CD1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580259</xdr:colOff>
      <xdr:row>42</xdr:row>
      <xdr:rowOff>142329</xdr:rowOff>
    </xdr:from>
    <xdr:to>
      <xdr:col>20</xdr:col>
      <xdr:colOff>372241</xdr:colOff>
      <xdr:row>44</xdr:row>
      <xdr:rowOff>0</xdr:rowOff>
    </xdr:to>
    <xdr:sp macro="" textlink="">
      <xdr:nvSpPr>
        <xdr:cNvPr id="48" name="TextBox 47">
          <a:extLst>
            <a:ext uri="{FF2B5EF4-FFF2-40B4-BE49-F238E27FC236}">
              <a16:creationId xmlns:a16="http://schemas.microsoft.com/office/drawing/2014/main" id="{7F4E0831-7DCC-97FB-70AF-C776F13EB0CC}"/>
            </a:ext>
          </a:extLst>
        </xdr:cNvPr>
        <xdr:cNvSpPr txBox="1"/>
      </xdr:nvSpPr>
      <xdr:spPr>
        <a:xfrm>
          <a:off x="9327931" y="7959398"/>
          <a:ext cx="3470603" cy="2299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Price</a:t>
          </a:r>
          <a:r>
            <a:rPr lang="en-US" sz="1400" baseline="0"/>
            <a:t> Vs Ratings</a:t>
          </a:r>
          <a:endParaRPr lang="en-US" sz="14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0.09168</cdr:x>
      <cdr:y>0.0169</cdr:y>
    </cdr:from>
    <cdr:to>
      <cdr:x>0.92751</cdr:x>
      <cdr:y>0.11831</cdr:y>
    </cdr:to>
    <cdr:sp macro="" textlink="">
      <cdr:nvSpPr>
        <cdr:cNvPr id="2" name="TextBox 1">
          <a:extLst xmlns:a="http://schemas.openxmlformats.org/drawingml/2006/main">
            <a:ext uri="{FF2B5EF4-FFF2-40B4-BE49-F238E27FC236}">
              <a16:creationId xmlns:a16="http://schemas.microsoft.com/office/drawing/2014/main" id="{6779FE52-01CC-EEDB-F32A-D325BD67EAE4}"/>
            </a:ext>
          </a:extLst>
        </cdr:cNvPr>
        <cdr:cNvSpPr txBox="1"/>
      </cdr:nvSpPr>
      <cdr:spPr>
        <a:xfrm xmlns:a="http://schemas.openxmlformats.org/drawingml/2006/main">
          <a:off x="341312" y="47624"/>
          <a:ext cx="3111500" cy="285750"/>
        </a:xfrm>
        <a:prstGeom xmlns:a="http://schemas.openxmlformats.org/drawingml/2006/main" prst="rect">
          <a:avLst/>
        </a:prstGeom>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r>
            <a:rPr lang="en-US" sz="1100" kern="1200"/>
            <a:t>Products by Rating_category</a:t>
          </a:r>
        </a:p>
        <a:p xmlns:a="http://schemas.openxmlformats.org/drawingml/2006/main">
          <a:r>
            <a:rPr lang="en-US" sz="1100" kern="1200"/>
            <a:t> </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14.790952314812" createdVersion="8" refreshedVersion="8" minRefreshableVersion="3" recordCount="112" xr:uid="{2281CDCF-3ED6-4D17-86CF-EEDDB443BD93}">
  <cacheSource type="worksheet">
    <worksheetSource ref="A1:J113" sheet="Clean data"/>
  </cacheSource>
  <cacheFields count="10">
    <cacheField name="Product" numFmtId="0">
      <sharedItems count="109">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numFmtId="1">
      <sharedItems containsSemiMixedTypes="0" containsString="0" containsNumber="1" containsInteger="1" minValue="38" maxValue="3750" count="103">
        <n v="950"/>
        <n v="527"/>
        <n v="2199"/>
        <n v="1580"/>
        <n v="1740"/>
        <n v="2999"/>
        <n v="2319"/>
        <n v="988"/>
        <n v="1274"/>
        <n v="1600"/>
        <n v="799"/>
        <n v="990"/>
        <n v="552"/>
        <n v="501"/>
        <n v="1680"/>
        <n v="332"/>
        <n v="195"/>
        <n v="2025"/>
        <n v="998"/>
        <n v="38"/>
        <n v="1860"/>
        <n v="880"/>
        <n v="1650"/>
        <n v="2048"/>
        <n v="420"/>
        <n v="2880"/>
        <n v="1350"/>
        <n v="1758"/>
        <n v="2200"/>
        <n v="185"/>
        <n v="980"/>
        <n v="1820"/>
        <n v="1940"/>
        <n v="1980"/>
        <n v="1620"/>
        <n v="171"/>
        <n v="389"/>
        <n v="1800"/>
        <n v="2750"/>
        <n v="475"/>
        <n v="238"/>
        <n v="610"/>
        <n v="2132"/>
        <n v="999"/>
        <n v="1190"/>
        <n v="671"/>
        <n v="1200"/>
        <n v="199"/>
        <n v="299"/>
        <n v="1660"/>
        <n v="1459"/>
        <n v="499"/>
        <n v="699"/>
        <n v="2799"/>
        <n v="399"/>
        <n v="2170"/>
        <n v="458"/>
        <n v="2115"/>
        <n v="445"/>
        <n v="325"/>
        <n v="1220"/>
        <n v="1000"/>
        <n v="3750"/>
        <n v="382"/>
        <n v="2300"/>
        <n v="345"/>
        <n v="509"/>
        <n v="968"/>
        <n v="1570"/>
        <n v="790"/>
        <n v="690"/>
        <n v="1732"/>
        <n v="230"/>
        <n v="1189"/>
        <n v="979"/>
        <n v="1460"/>
        <n v="1666"/>
        <n v="330"/>
        <n v="176"/>
        <n v="1466"/>
        <n v="274"/>
        <n v="657"/>
        <n v="1468"/>
        <n v="630"/>
        <n v="850"/>
        <n v="1300"/>
        <n v="105"/>
        <n v="899"/>
        <n v="1526"/>
        <n v="1462"/>
        <n v="248"/>
        <n v="3546"/>
        <n v="525"/>
        <n v="1080"/>
        <n v="3640"/>
        <n v="1420"/>
        <n v="1875"/>
        <n v="198"/>
        <n v="1150"/>
        <n v="1658"/>
        <n v="1768"/>
        <n v="450"/>
        <n v="169"/>
      </sharedItems>
    </cacheField>
    <cacheField name="old price" numFmtId="1">
      <sharedItems containsSemiMixedTypes="0" containsString="0" containsNumber="1" containsInteger="1" minValue="80" maxValue="6143"/>
    </cacheField>
    <cacheField name="Discount" numFmtId="9">
      <sharedItems containsSemiMixedTypes="0" containsString="0" containsNumber="1" minValue="0.01" maxValue="0.64" count="46">
        <n v="0.38"/>
        <n v="0.47"/>
        <n v="0.25"/>
        <n v="0.37"/>
        <n v="0.26"/>
        <n v="0.09"/>
        <n v="0.24"/>
        <n v="0.55000000000000004"/>
        <n v="0.45"/>
        <n v="0.2"/>
        <n v="0.34"/>
        <n v="0.42"/>
        <n v="0.33"/>
        <n v="0.51"/>
        <n v="0.46"/>
        <n v="0.49"/>
        <n v="0.19"/>
        <n v="0.53"/>
        <n v="0.35"/>
        <n v="0.23"/>
        <n v="0.54"/>
        <n v="0.18"/>
        <n v="0.32"/>
        <n v="0.3"/>
        <n v="0.52"/>
        <n v="0.48"/>
        <n v="0.27"/>
        <n v="0.4"/>
        <n v="0.41"/>
        <n v="0.5"/>
        <n v="0.02"/>
        <n v="0.61"/>
        <n v="0.22"/>
        <n v="0.03"/>
        <n v="0.13"/>
        <n v="0.39"/>
        <n v="0.28999999999999998"/>
        <n v="0.43"/>
        <n v="0.04"/>
        <n v="0.36"/>
        <n v="0.14000000000000001"/>
        <n v="0.11"/>
        <n v="0.08"/>
        <n v="0.21"/>
        <n v="0.01"/>
        <n v="0.64"/>
      </sharedItems>
    </cacheField>
    <cacheField name="Review" numFmtId="1">
      <sharedItems containsSemiMixedTypes="0" containsString="0" containsNumber="1" containsInteger="1" minValue="0" maxValue="69"/>
    </cacheField>
    <cacheField name="Ratings " numFmtId="164">
      <sharedItems containsString="0" containsBlank="1" containsNumber="1" minValue="2" maxValue="5" count="23">
        <n v="4.5"/>
        <n v="4.0999999999999996"/>
        <n v="4.5999999999999996"/>
        <n v="4.7"/>
        <n v="4.8"/>
        <n v="4"/>
        <n v="3.8"/>
        <n v="4.2"/>
        <n v="5"/>
        <n v="3.3"/>
        <m/>
        <n v="4.4000000000000004"/>
        <n v="4.3"/>
        <n v="2.5"/>
        <n v="3"/>
        <n v="2.1"/>
        <n v="2.8"/>
        <n v="2.7"/>
        <n v="2.9"/>
        <n v="2.2000000000000002"/>
        <n v="2.2999999999999998"/>
        <n v="2.6"/>
        <n v="2"/>
      </sharedItems>
    </cacheField>
    <cacheField name="Discount_amount" numFmtId="164">
      <sharedItems containsSemiMixedTypes="0" containsString="0" containsNumber="1" containsInteger="1" minValue="24" maxValue="2585"/>
    </cacheField>
    <cacheField name="Rating_category" numFmtId="0">
      <sharedItems count="3">
        <s v="Excellent"/>
        <s v="Average"/>
        <s v="below"/>
      </sharedItems>
    </cacheField>
    <cacheField name="Discount_category" numFmtId="0">
      <sharedItems count="3">
        <s v="Medium"/>
        <s v="High above"/>
        <s v="Low below"/>
      </sharedItems>
    </cacheField>
    <cacheField name="price_category" numFmtId="0">
      <sharedItems count="3">
        <s v="Cheap"/>
        <s v="Expensive"/>
        <s v="Average"/>
      </sharedItems>
    </cacheField>
  </cacheFields>
  <extLst>
    <ext xmlns:x14="http://schemas.microsoft.com/office/spreadsheetml/2009/9/main" uri="{725AE2AE-9491-48be-B2B4-4EB974FC3084}">
      <x14:pivotCacheDefinition pivotCacheId="964221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x v="0"/>
    <n v="1525"/>
    <x v="0"/>
    <n v="2"/>
    <x v="0"/>
    <n v="575"/>
    <x v="0"/>
    <x v="0"/>
    <x v="0"/>
  </r>
  <r>
    <x v="1"/>
    <x v="1"/>
    <n v="999"/>
    <x v="1"/>
    <n v="14"/>
    <x v="1"/>
    <n v="472"/>
    <x v="1"/>
    <x v="1"/>
    <x v="0"/>
  </r>
  <r>
    <x v="2"/>
    <x v="2"/>
    <n v="2923"/>
    <x v="2"/>
    <n v="24"/>
    <x v="2"/>
    <n v="724"/>
    <x v="0"/>
    <x v="0"/>
    <x v="1"/>
  </r>
  <r>
    <x v="3"/>
    <x v="3"/>
    <n v="2499"/>
    <x v="3"/>
    <n v="7"/>
    <x v="3"/>
    <n v="919"/>
    <x v="0"/>
    <x v="0"/>
    <x v="2"/>
  </r>
  <r>
    <x v="4"/>
    <x v="4"/>
    <n v="2356"/>
    <x v="4"/>
    <n v="5"/>
    <x v="4"/>
    <n v="616"/>
    <x v="0"/>
    <x v="0"/>
    <x v="2"/>
  </r>
  <r>
    <x v="5"/>
    <x v="5"/>
    <n v="3290"/>
    <x v="5"/>
    <n v="15"/>
    <x v="5"/>
    <n v="291"/>
    <x v="1"/>
    <x v="2"/>
    <x v="1"/>
  </r>
  <r>
    <x v="6"/>
    <x v="6"/>
    <n v="3032"/>
    <x v="6"/>
    <n v="55"/>
    <x v="2"/>
    <n v="713"/>
    <x v="0"/>
    <x v="0"/>
    <x v="1"/>
  </r>
  <r>
    <x v="7"/>
    <x v="7"/>
    <n v="1580"/>
    <x v="3"/>
    <n v="2"/>
    <x v="5"/>
    <n v="592"/>
    <x v="1"/>
    <x v="0"/>
    <x v="0"/>
  </r>
  <r>
    <x v="8"/>
    <x v="8"/>
    <n v="2800"/>
    <x v="7"/>
    <n v="5"/>
    <x v="4"/>
    <n v="1526"/>
    <x v="0"/>
    <x v="1"/>
    <x v="2"/>
  </r>
  <r>
    <x v="9"/>
    <x v="9"/>
    <n v="2929"/>
    <x v="8"/>
    <n v="5"/>
    <x v="6"/>
    <n v="1329"/>
    <x v="1"/>
    <x v="1"/>
    <x v="2"/>
  </r>
  <r>
    <x v="10"/>
    <x v="10"/>
    <n v="999"/>
    <x v="9"/>
    <n v="12"/>
    <x v="1"/>
    <n v="200"/>
    <x v="1"/>
    <x v="0"/>
    <x v="0"/>
  </r>
  <r>
    <x v="11"/>
    <x v="11"/>
    <n v="1500"/>
    <x v="10"/>
    <n v="39"/>
    <x v="3"/>
    <n v="510"/>
    <x v="0"/>
    <x v="0"/>
    <x v="0"/>
  </r>
  <r>
    <x v="12"/>
    <x v="12"/>
    <n v="1035"/>
    <x v="1"/>
    <n v="12"/>
    <x v="4"/>
    <n v="483"/>
    <x v="0"/>
    <x v="1"/>
    <x v="0"/>
  </r>
  <r>
    <x v="13"/>
    <x v="13"/>
    <n v="860"/>
    <x v="11"/>
    <n v="6"/>
    <x v="0"/>
    <n v="359"/>
    <x v="0"/>
    <x v="1"/>
    <x v="0"/>
  </r>
  <r>
    <x v="14"/>
    <x v="14"/>
    <n v="2499"/>
    <x v="12"/>
    <n v="9"/>
    <x v="7"/>
    <n v="819"/>
    <x v="1"/>
    <x v="0"/>
    <x v="2"/>
  </r>
  <r>
    <x v="15"/>
    <x v="15"/>
    <n v="684"/>
    <x v="13"/>
    <n v="2"/>
    <x v="8"/>
    <n v="352"/>
    <x v="0"/>
    <x v="1"/>
    <x v="0"/>
  </r>
  <r>
    <x v="16"/>
    <x v="16"/>
    <n v="360"/>
    <x v="14"/>
    <n v="2"/>
    <x v="8"/>
    <n v="165"/>
    <x v="0"/>
    <x v="1"/>
    <x v="0"/>
  </r>
  <r>
    <x v="17"/>
    <x v="17"/>
    <n v="3971"/>
    <x v="15"/>
    <n v="3"/>
    <x v="8"/>
    <n v="1946"/>
    <x v="0"/>
    <x v="1"/>
    <x v="1"/>
  </r>
  <r>
    <x v="18"/>
    <x v="5"/>
    <n v="3699"/>
    <x v="16"/>
    <n v="5"/>
    <x v="2"/>
    <n v="700"/>
    <x v="0"/>
    <x v="2"/>
    <x v="1"/>
  </r>
  <r>
    <x v="19"/>
    <x v="18"/>
    <n v="1966"/>
    <x v="15"/>
    <n v="44"/>
    <x v="2"/>
    <n v="968"/>
    <x v="0"/>
    <x v="1"/>
    <x v="0"/>
  </r>
  <r>
    <x v="20"/>
    <x v="19"/>
    <n v="80"/>
    <x v="17"/>
    <n v="13"/>
    <x v="9"/>
    <n v="42"/>
    <x v="1"/>
    <x v="1"/>
    <x v="0"/>
  </r>
  <r>
    <x v="21"/>
    <x v="20"/>
    <n v="3220"/>
    <x v="11"/>
    <n v="0"/>
    <x v="10"/>
    <n v="1360"/>
    <x v="2"/>
    <x v="1"/>
    <x v="2"/>
  </r>
  <r>
    <x v="22"/>
    <x v="21"/>
    <n v="1350"/>
    <x v="18"/>
    <n v="6"/>
    <x v="5"/>
    <n v="470"/>
    <x v="1"/>
    <x v="0"/>
    <x v="0"/>
  </r>
  <r>
    <x v="23"/>
    <x v="22"/>
    <n v="2150"/>
    <x v="19"/>
    <n v="14"/>
    <x v="11"/>
    <n v="500"/>
    <x v="1"/>
    <x v="0"/>
    <x v="2"/>
  </r>
  <r>
    <x v="24"/>
    <x v="23"/>
    <n v="4500"/>
    <x v="20"/>
    <n v="7"/>
    <x v="12"/>
    <n v="2452"/>
    <x v="1"/>
    <x v="1"/>
    <x v="1"/>
  </r>
  <r>
    <x v="25"/>
    <x v="24"/>
    <n v="647"/>
    <x v="18"/>
    <n v="49"/>
    <x v="2"/>
    <n v="227"/>
    <x v="0"/>
    <x v="0"/>
    <x v="0"/>
  </r>
  <r>
    <x v="26"/>
    <x v="25"/>
    <n v="3520"/>
    <x v="21"/>
    <n v="12"/>
    <x v="6"/>
    <n v="640"/>
    <x v="1"/>
    <x v="2"/>
    <x v="1"/>
  </r>
  <r>
    <x v="27"/>
    <x v="26"/>
    <n v="1990"/>
    <x v="22"/>
    <n v="13"/>
    <x v="6"/>
    <n v="640"/>
    <x v="1"/>
    <x v="0"/>
    <x v="2"/>
  </r>
  <r>
    <x v="28"/>
    <x v="27"/>
    <n v="2499"/>
    <x v="23"/>
    <n v="20"/>
    <x v="1"/>
    <n v="741"/>
    <x v="1"/>
    <x v="0"/>
    <x v="2"/>
  </r>
  <r>
    <x v="29"/>
    <x v="28"/>
    <n v="4080"/>
    <x v="14"/>
    <n v="0"/>
    <x v="10"/>
    <n v="1880"/>
    <x v="2"/>
    <x v="1"/>
    <x v="1"/>
  </r>
  <r>
    <x v="30"/>
    <x v="29"/>
    <n v="382"/>
    <x v="24"/>
    <n v="9"/>
    <x v="12"/>
    <n v="197"/>
    <x v="1"/>
    <x v="1"/>
    <x v="0"/>
  </r>
  <r>
    <x v="31"/>
    <x v="30"/>
    <n v="1490"/>
    <x v="10"/>
    <n v="12"/>
    <x v="3"/>
    <n v="510"/>
    <x v="0"/>
    <x v="0"/>
    <x v="0"/>
  </r>
  <r>
    <x v="32"/>
    <x v="31"/>
    <n v="3490"/>
    <x v="25"/>
    <n v="9"/>
    <x v="12"/>
    <n v="1670"/>
    <x v="1"/>
    <x v="1"/>
    <x v="2"/>
  </r>
  <r>
    <x v="33"/>
    <x v="32"/>
    <n v="2650"/>
    <x v="26"/>
    <n v="20"/>
    <x v="3"/>
    <n v="710"/>
    <x v="0"/>
    <x v="0"/>
    <x v="2"/>
  </r>
  <r>
    <x v="34"/>
    <x v="33"/>
    <n v="2699"/>
    <x v="26"/>
    <n v="32"/>
    <x v="0"/>
    <n v="719"/>
    <x v="0"/>
    <x v="0"/>
    <x v="2"/>
  </r>
  <r>
    <x v="35"/>
    <x v="34"/>
    <n v="2690"/>
    <x v="27"/>
    <n v="1"/>
    <x v="8"/>
    <n v="1070"/>
    <x v="0"/>
    <x v="0"/>
    <x v="2"/>
  </r>
  <r>
    <x v="36"/>
    <x v="35"/>
    <n v="360"/>
    <x v="17"/>
    <n v="2"/>
    <x v="8"/>
    <n v="189"/>
    <x v="0"/>
    <x v="1"/>
    <x v="0"/>
  </r>
  <r>
    <x v="37"/>
    <x v="36"/>
    <n v="656"/>
    <x v="28"/>
    <n v="36"/>
    <x v="12"/>
    <n v="267"/>
    <x v="1"/>
    <x v="1"/>
    <x v="0"/>
  </r>
  <r>
    <x v="38"/>
    <x v="37"/>
    <n v="2700"/>
    <x v="0"/>
    <n v="2"/>
    <x v="0"/>
    <n v="900"/>
    <x v="0"/>
    <x v="0"/>
    <x v="2"/>
  </r>
  <r>
    <x v="39"/>
    <x v="38"/>
    <n v="4471"/>
    <x v="0"/>
    <n v="0"/>
    <x v="10"/>
    <n v="1721"/>
    <x v="2"/>
    <x v="0"/>
    <x v="1"/>
  </r>
  <r>
    <x v="40"/>
    <x v="39"/>
    <n v="931"/>
    <x v="15"/>
    <n v="0"/>
    <x v="10"/>
    <n v="456"/>
    <x v="2"/>
    <x v="1"/>
    <x v="0"/>
  </r>
  <r>
    <x v="41"/>
    <x v="40"/>
    <n v="476"/>
    <x v="29"/>
    <n v="0"/>
    <x v="10"/>
    <n v="238"/>
    <x v="2"/>
    <x v="1"/>
    <x v="0"/>
  </r>
  <r>
    <x v="42"/>
    <x v="41"/>
    <n v="1060"/>
    <x v="11"/>
    <n v="0"/>
    <x v="10"/>
    <n v="450"/>
    <x v="2"/>
    <x v="1"/>
    <x v="0"/>
  </r>
  <r>
    <x v="43"/>
    <x v="42"/>
    <n v="2169"/>
    <x v="30"/>
    <n v="0"/>
    <x v="10"/>
    <n v="37"/>
    <x v="2"/>
    <x v="2"/>
    <x v="1"/>
  </r>
  <r>
    <x v="44"/>
    <x v="43"/>
    <n v="2000"/>
    <x v="29"/>
    <n v="0"/>
    <x v="10"/>
    <n v="1001"/>
    <x v="2"/>
    <x v="1"/>
    <x v="0"/>
  </r>
  <r>
    <x v="45"/>
    <x v="44"/>
    <n v="1785"/>
    <x v="12"/>
    <n v="0"/>
    <x v="10"/>
    <n v="595"/>
    <x v="2"/>
    <x v="0"/>
    <x v="2"/>
  </r>
  <r>
    <x v="46"/>
    <x v="45"/>
    <n v="1316"/>
    <x v="15"/>
    <n v="0"/>
    <x v="10"/>
    <n v="645"/>
    <x v="2"/>
    <x v="1"/>
    <x v="0"/>
  </r>
  <r>
    <x v="47"/>
    <x v="46"/>
    <n v="1950"/>
    <x v="0"/>
    <n v="0"/>
    <x v="10"/>
    <n v="750"/>
    <x v="2"/>
    <x v="0"/>
    <x v="2"/>
  </r>
  <r>
    <x v="48"/>
    <x v="47"/>
    <n v="504"/>
    <x v="31"/>
    <n v="0"/>
    <x v="10"/>
    <n v="305"/>
    <x v="2"/>
    <x v="1"/>
    <x v="0"/>
  </r>
  <r>
    <x v="49"/>
    <x v="48"/>
    <n v="600"/>
    <x v="29"/>
    <n v="0"/>
    <x v="10"/>
    <n v="301"/>
    <x v="2"/>
    <x v="1"/>
    <x v="0"/>
  </r>
  <r>
    <x v="50"/>
    <x v="49"/>
    <n v="1699"/>
    <x v="30"/>
    <n v="0"/>
    <x v="10"/>
    <n v="39"/>
    <x v="2"/>
    <x v="2"/>
    <x v="2"/>
  </r>
  <r>
    <x v="51"/>
    <x v="48"/>
    <n v="384"/>
    <x v="32"/>
    <n v="0"/>
    <x v="10"/>
    <n v="85"/>
    <x v="2"/>
    <x v="0"/>
    <x v="0"/>
  </r>
  <r>
    <x v="52"/>
    <x v="50"/>
    <n v="1499"/>
    <x v="33"/>
    <n v="0"/>
    <x v="10"/>
    <n v="40"/>
    <x v="2"/>
    <x v="2"/>
    <x v="2"/>
  </r>
  <r>
    <x v="53"/>
    <x v="10"/>
    <n v="1343"/>
    <x v="28"/>
    <n v="0"/>
    <x v="10"/>
    <n v="544"/>
    <x v="2"/>
    <x v="1"/>
    <x v="0"/>
  </r>
  <r>
    <x v="54"/>
    <x v="51"/>
    <n v="900"/>
    <x v="8"/>
    <n v="0"/>
    <x v="10"/>
    <n v="401"/>
    <x v="2"/>
    <x v="1"/>
    <x v="0"/>
  </r>
  <r>
    <x v="55"/>
    <x v="52"/>
    <n v="1343"/>
    <x v="25"/>
    <n v="0"/>
    <x v="10"/>
    <n v="644"/>
    <x v="2"/>
    <x v="1"/>
    <x v="0"/>
  </r>
  <r>
    <x v="56"/>
    <x v="10"/>
    <n v="1567"/>
    <x v="15"/>
    <n v="0"/>
    <x v="10"/>
    <n v="768"/>
    <x v="2"/>
    <x v="1"/>
    <x v="0"/>
  </r>
  <r>
    <x v="57"/>
    <x v="53"/>
    <n v="3810"/>
    <x v="26"/>
    <n v="0"/>
    <x v="10"/>
    <n v="1011"/>
    <x v="2"/>
    <x v="0"/>
    <x v="1"/>
  </r>
  <r>
    <x v="54"/>
    <x v="54"/>
    <n v="896"/>
    <x v="7"/>
    <n v="0"/>
    <x v="10"/>
    <n v="497"/>
    <x v="2"/>
    <x v="1"/>
    <x v="0"/>
  </r>
  <r>
    <x v="58"/>
    <x v="55"/>
    <n v="2500"/>
    <x v="34"/>
    <n v="6"/>
    <x v="13"/>
    <n v="330"/>
    <x v="2"/>
    <x v="2"/>
    <x v="1"/>
  </r>
  <r>
    <x v="59"/>
    <x v="56"/>
    <n v="986"/>
    <x v="20"/>
    <n v="10"/>
    <x v="14"/>
    <n v="528"/>
    <x v="1"/>
    <x v="1"/>
    <x v="0"/>
  </r>
  <r>
    <x v="60"/>
    <x v="57"/>
    <n v="4700"/>
    <x v="7"/>
    <n v="13"/>
    <x v="15"/>
    <n v="2585"/>
    <x v="2"/>
    <x v="1"/>
    <x v="1"/>
  </r>
  <r>
    <x v="61"/>
    <x v="58"/>
    <n v="873"/>
    <x v="15"/>
    <n v="69"/>
    <x v="16"/>
    <n v="428"/>
    <x v="2"/>
    <x v="1"/>
    <x v="0"/>
  </r>
  <r>
    <x v="62"/>
    <x v="59"/>
    <n v="680"/>
    <x v="24"/>
    <n v="15"/>
    <x v="17"/>
    <n v="355"/>
    <x v="2"/>
    <x v="1"/>
    <x v="0"/>
  </r>
  <r>
    <x v="63"/>
    <x v="60"/>
    <n v="1555"/>
    <x v="32"/>
    <n v="16"/>
    <x v="18"/>
    <n v="335"/>
    <x v="2"/>
    <x v="0"/>
    <x v="2"/>
  </r>
  <r>
    <x v="64"/>
    <x v="11"/>
    <n v="1814"/>
    <x v="8"/>
    <n v="6"/>
    <x v="19"/>
    <n v="824"/>
    <x v="2"/>
    <x v="1"/>
    <x v="0"/>
  </r>
  <r>
    <x v="65"/>
    <x v="61"/>
    <n v="2000"/>
    <x v="29"/>
    <n v="7"/>
    <x v="20"/>
    <n v="1000"/>
    <x v="2"/>
    <x v="1"/>
    <x v="2"/>
  </r>
  <r>
    <x v="66"/>
    <x v="62"/>
    <n v="6143"/>
    <x v="35"/>
    <n v="5"/>
    <x v="14"/>
    <n v="2393"/>
    <x v="1"/>
    <x v="0"/>
    <x v="1"/>
  </r>
  <r>
    <x v="67"/>
    <x v="63"/>
    <n v="700"/>
    <x v="8"/>
    <n v="17"/>
    <x v="21"/>
    <n v="318"/>
    <x v="2"/>
    <x v="1"/>
    <x v="0"/>
  </r>
  <r>
    <x v="68"/>
    <x v="64"/>
    <n v="3240"/>
    <x v="36"/>
    <n v="5"/>
    <x v="14"/>
    <n v="940"/>
    <x v="1"/>
    <x v="0"/>
    <x v="1"/>
  </r>
  <r>
    <x v="69"/>
    <x v="65"/>
    <n v="602"/>
    <x v="37"/>
    <n v="6"/>
    <x v="20"/>
    <n v="257"/>
    <x v="2"/>
    <x v="1"/>
    <x v="0"/>
  </r>
  <r>
    <x v="70"/>
    <x v="66"/>
    <n v="899"/>
    <x v="37"/>
    <n v="5"/>
    <x v="14"/>
    <n v="390"/>
    <x v="1"/>
    <x v="1"/>
    <x v="0"/>
  </r>
  <r>
    <x v="71"/>
    <x v="67"/>
    <n v="1814"/>
    <x v="1"/>
    <n v="6"/>
    <x v="19"/>
    <n v="846"/>
    <x v="2"/>
    <x v="1"/>
    <x v="0"/>
  </r>
  <r>
    <x v="72"/>
    <x v="68"/>
    <n v="2988"/>
    <x v="1"/>
    <n v="7"/>
    <x v="15"/>
    <n v="1418"/>
    <x v="2"/>
    <x v="1"/>
    <x v="2"/>
  </r>
  <r>
    <x v="73"/>
    <x v="69"/>
    <n v="1485"/>
    <x v="1"/>
    <n v="0"/>
    <x v="10"/>
    <n v="695"/>
    <x v="2"/>
    <x v="1"/>
    <x v="0"/>
  </r>
  <r>
    <x v="74"/>
    <x v="70"/>
    <n v="1200"/>
    <x v="37"/>
    <n v="0"/>
    <x v="10"/>
    <n v="510"/>
    <x v="2"/>
    <x v="1"/>
    <x v="0"/>
  </r>
  <r>
    <x v="75"/>
    <x v="71"/>
    <n v="1799"/>
    <x v="38"/>
    <n v="0"/>
    <x v="10"/>
    <n v="67"/>
    <x v="2"/>
    <x v="2"/>
    <x v="2"/>
  </r>
  <r>
    <x v="76"/>
    <x v="72"/>
    <n v="450"/>
    <x v="15"/>
    <n v="0"/>
    <x v="10"/>
    <n v="220"/>
    <x v="2"/>
    <x v="1"/>
    <x v="0"/>
  </r>
  <r>
    <x v="77"/>
    <x v="73"/>
    <n v="2199"/>
    <x v="14"/>
    <n v="1"/>
    <x v="14"/>
    <n v="1010"/>
    <x v="1"/>
    <x v="1"/>
    <x v="2"/>
  </r>
  <r>
    <x v="78"/>
    <x v="74"/>
    <n v="1920"/>
    <x v="15"/>
    <n v="1"/>
    <x v="8"/>
    <n v="941"/>
    <x v="0"/>
    <x v="1"/>
    <x v="0"/>
  </r>
  <r>
    <x v="79"/>
    <x v="75"/>
    <n v="2290"/>
    <x v="39"/>
    <n v="0"/>
    <x v="10"/>
    <n v="830"/>
    <x v="2"/>
    <x v="0"/>
    <x v="2"/>
  </r>
  <r>
    <x v="80"/>
    <x v="76"/>
    <n v="1699"/>
    <x v="30"/>
    <n v="0"/>
    <x v="10"/>
    <n v="33"/>
    <x v="2"/>
    <x v="2"/>
    <x v="2"/>
  </r>
  <r>
    <x v="81"/>
    <x v="77"/>
    <n v="647"/>
    <x v="15"/>
    <n v="1"/>
    <x v="5"/>
    <n v="317"/>
    <x v="1"/>
    <x v="1"/>
    <x v="0"/>
  </r>
  <r>
    <x v="48"/>
    <x v="78"/>
    <n v="345"/>
    <x v="15"/>
    <n v="0"/>
    <x v="10"/>
    <n v="169"/>
    <x v="2"/>
    <x v="1"/>
    <x v="0"/>
  </r>
  <r>
    <x v="82"/>
    <x v="79"/>
    <n v="1699"/>
    <x v="40"/>
    <n v="0"/>
    <x v="10"/>
    <n v="233"/>
    <x v="2"/>
    <x v="2"/>
    <x v="2"/>
  </r>
  <r>
    <x v="83"/>
    <x v="80"/>
    <n v="537"/>
    <x v="15"/>
    <n v="0"/>
    <x v="10"/>
    <n v="263"/>
    <x v="2"/>
    <x v="1"/>
    <x v="0"/>
  </r>
  <r>
    <x v="84"/>
    <x v="10"/>
    <n v="900"/>
    <x v="41"/>
    <n v="0"/>
    <x v="10"/>
    <n v="101"/>
    <x v="2"/>
    <x v="2"/>
    <x v="0"/>
  </r>
  <r>
    <x v="56"/>
    <x v="81"/>
    <n v="1288"/>
    <x v="15"/>
    <n v="0"/>
    <x v="10"/>
    <n v="631"/>
    <x v="2"/>
    <x v="1"/>
    <x v="0"/>
  </r>
  <r>
    <x v="85"/>
    <x v="82"/>
    <n v="1699"/>
    <x v="40"/>
    <n v="0"/>
    <x v="10"/>
    <n v="231"/>
    <x v="2"/>
    <x v="2"/>
    <x v="2"/>
  </r>
  <r>
    <x v="86"/>
    <x v="83"/>
    <n v="1100"/>
    <x v="37"/>
    <n v="0"/>
    <x v="10"/>
    <n v="470"/>
    <x v="2"/>
    <x v="1"/>
    <x v="0"/>
  </r>
  <r>
    <x v="87"/>
    <x v="84"/>
    <n v="1700"/>
    <x v="29"/>
    <n v="0"/>
    <x v="10"/>
    <n v="850"/>
    <x v="2"/>
    <x v="1"/>
    <x v="0"/>
  </r>
  <r>
    <x v="88"/>
    <x v="85"/>
    <n v="2500"/>
    <x v="25"/>
    <n v="0"/>
    <x v="10"/>
    <n v="1200"/>
    <x v="2"/>
    <x v="1"/>
    <x v="2"/>
  </r>
  <r>
    <x v="89"/>
    <x v="86"/>
    <n v="200"/>
    <x v="25"/>
    <n v="0"/>
    <x v="10"/>
    <n v="95"/>
    <x v="2"/>
    <x v="1"/>
    <x v="0"/>
  </r>
  <r>
    <x v="90"/>
    <x v="87"/>
    <n v="1699"/>
    <x v="1"/>
    <n v="0"/>
    <x v="10"/>
    <n v="800"/>
    <x v="2"/>
    <x v="1"/>
    <x v="0"/>
  </r>
  <r>
    <x v="91"/>
    <x v="46"/>
    <n v="2400"/>
    <x v="29"/>
    <n v="0"/>
    <x v="10"/>
    <n v="1200"/>
    <x v="2"/>
    <x v="1"/>
    <x v="2"/>
  </r>
  <r>
    <x v="92"/>
    <x v="88"/>
    <n v="1660"/>
    <x v="42"/>
    <n v="0"/>
    <x v="10"/>
    <n v="134"/>
    <x v="2"/>
    <x v="2"/>
    <x v="2"/>
  </r>
  <r>
    <x v="93"/>
    <x v="89"/>
    <n v="1499"/>
    <x v="30"/>
    <n v="0"/>
    <x v="10"/>
    <n v="37"/>
    <x v="2"/>
    <x v="2"/>
    <x v="2"/>
  </r>
  <r>
    <x v="94"/>
    <x v="90"/>
    <n v="486"/>
    <x v="15"/>
    <n v="0"/>
    <x v="10"/>
    <n v="238"/>
    <x v="2"/>
    <x v="1"/>
    <x v="0"/>
  </r>
  <r>
    <x v="95"/>
    <x v="91"/>
    <n v="3699"/>
    <x v="38"/>
    <n v="0"/>
    <x v="10"/>
    <n v="153"/>
    <x v="2"/>
    <x v="2"/>
    <x v="1"/>
  </r>
  <r>
    <x v="96"/>
    <x v="92"/>
    <n v="1029"/>
    <x v="15"/>
    <n v="0"/>
    <x v="10"/>
    <n v="504"/>
    <x v="2"/>
    <x v="1"/>
    <x v="0"/>
  </r>
  <r>
    <x v="97"/>
    <x v="93"/>
    <n v="1874"/>
    <x v="11"/>
    <n v="0"/>
    <x v="10"/>
    <n v="794"/>
    <x v="2"/>
    <x v="1"/>
    <x v="2"/>
  </r>
  <r>
    <x v="98"/>
    <x v="94"/>
    <n v="4588"/>
    <x v="43"/>
    <n v="1"/>
    <x v="8"/>
    <n v="948"/>
    <x v="0"/>
    <x v="0"/>
    <x v="1"/>
  </r>
  <r>
    <x v="99"/>
    <x v="95"/>
    <n v="2420"/>
    <x v="28"/>
    <n v="0"/>
    <x v="10"/>
    <n v="1000"/>
    <x v="2"/>
    <x v="1"/>
    <x v="2"/>
  </r>
  <r>
    <x v="100"/>
    <x v="96"/>
    <n v="1899"/>
    <x v="44"/>
    <n v="0"/>
    <x v="10"/>
    <n v="24"/>
    <x v="2"/>
    <x v="2"/>
    <x v="2"/>
  </r>
  <r>
    <x v="101"/>
    <x v="97"/>
    <n v="260"/>
    <x v="6"/>
    <n v="0"/>
    <x v="10"/>
    <n v="62"/>
    <x v="2"/>
    <x v="0"/>
    <x v="0"/>
  </r>
  <r>
    <x v="102"/>
    <x v="98"/>
    <n v="1737"/>
    <x v="10"/>
    <n v="0"/>
    <x v="10"/>
    <n v="587"/>
    <x v="2"/>
    <x v="0"/>
    <x v="2"/>
  </r>
  <r>
    <x v="103"/>
    <x v="44"/>
    <n v="1810"/>
    <x v="10"/>
    <n v="0"/>
    <x v="10"/>
    <n v="620"/>
    <x v="2"/>
    <x v="0"/>
    <x v="2"/>
  </r>
  <r>
    <x v="104"/>
    <x v="99"/>
    <n v="1699"/>
    <x v="30"/>
    <n v="0"/>
    <x v="10"/>
    <n v="41"/>
    <x v="2"/>
    <x v="2"/>
    <x v="2"/>
  </r>
  <r>
    <x v="105"/>
    <x v="100"/>
    <n v="1799"/>
    <x v="30"/>
    <n v="0"/>
    <x v="10"/>
    <n v="31"/>
    <x v="2"/>
    <x v="2"/>
    <x v="2"/>
  </r>
  <r>
    <x v="106"/>
    <x v="47"/>
    <n v="553"/>
    <x v="45"/>
    <n v="0"/>
    <x v="10"/>
    <n v="354"/>
    <x v="2"/>
    <x v="1"/>
    <x v="0"/>
  </r>
  <r>
    <x v="107"/>
    <x v="101"/>
    <n v="900"/>
    <x v="29"/>
    <n v="1"/>
    <x v="22"/>
    <n v="450"/>
    <x v="2"/>
    <x v="1"/>
    <x v="0"/>
  </r>
  <r>
    <x v="108"/>
    <x v="102"/>
    <n v="320"/>
    <x v="1"/>
    <n v="0"/>
    <x v="10"/>
    <n v="151"/>
    <x v="2"/>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6CE397-6150-430F-870A-1BAF6F56CF57}"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D19:E29" firstHeaderRow="1" firstDataRow="1" firstDataCol="1"/>
  <pivotFields count="10">
    <pivotField axis="axisRow" compact="0" outline="0" showAll="0" measureFilter="1" sortType="descending">
      <items count="110">
        <item x="70"/>
        <item x="3"/>
        <item x="69"/>
        <item x="85"/>
        <item x="107"/>
        <item x="92"/>
        <item x="87"/>
        <item x="63"/>
        <item x="105"/>
        <item x="54"/>
        <item x="104"/>
        <item x="43"/>
        <item x="89"/>
        <item x="37"/>
        <item x="88"/>
        <item x="26"/>
        <item x="93"/>
        <item x="2"/>
        <item x="4"/>
        <item x="51"/>
        <item x="50"/>
        <item x="16"/>
        <item x="84"/>
        <item x="82"/>
        <item x="59"/>
        <item x="52"/>
        <item x="29"/>
        <item x="86"/>
        <item x="14"/>
        <item x="41"/>
        <item x="95"/>
        <item x="1"/>
        <item x="77"/>
        <item x="18"/>
        <item x="102"/>
        <item x="22"/>
        <item x="32"/>
        <item x="39"/>
        <item x="8"/>
        <item x="13"/>
        <item x="17"/>
        <item x="24"/>
        <item x="68"/>
        <item x="98"/>
        <item x="62"/>
        <item x="81"/>
        <item x="10"/>
        <item x="23"/>
        <item x="30"/>
        <item x="25"/>
        <item x="72"/>
        <item x="35"/>
        <item x="7"/>
        <item x="53"/>
        <item x="75"/>
        <item x="48"/>
        <item x="36"/>
        <item x="55"/>
        <item x="44"/>
        <item x="103"/>
        <item x="83"/>
        <item x="46"/>
        <item x="49"/>
        <item x="108"/>
        <item x="78"/>
        <item x="42"/>
        <item x="96"/>
        <item x="64"/>
        <item x="15"/>
        <item x="56"/>
        <item x="67"/>
        <item x="99"/>
        <item x="97"/>
        <item x="71"/>
        <item x="76"/>
        <item x="45"/>
        <item x="90"/>
        <item x="106"/>
        <item x="60"/>
        <item x="79"/>
        <item x="33"/>
        <item x="34"/>
        <item x="28"/>
        <item x="58"/>
        <item x="21"/>
        <item x="40"/>
        <item x="12"/>
        <item x="94"/>
        <item x="20"/>
        <item x="74"/>
        <item x="19"/>
        <item x="65"/>
        <item x="66"/>
        <item x="73"/>
        <item x="47"/>
        <item x="91"/>
        <item x="100"/>
        <item x="5"/>
        <item x="80"/>
        <item x="101"/>
        <item x="6"/>
        <item x="9"/>
        <item x="57"/>
        <item x="61"/>
        <item x="31"/>
        <item x="27"/>
        <item x="0"/>
        <item x="11"/>
        <item x="38"/>
        <item t="default"/>
      </items>
      <autoSortScope>
        <pivotArea dataOnly="0" outline="0" fieldPosition="0">
          <references count="1">
            <reference field="4294967294" count="1" selected="0">
              <x v="0"/>
            </reference>
          </references>
        </pivotArea>
      </autoSortScope>
    </pivotField>
    <pivotField compact="0" numFmtId="1" outline="0" showAll="0"/>
    <pivotField compact="0" numFmtId="1" outline="0" showAll="0"/>
    <pivotField dataField="1" compact="0" numFmtId="9" outline="0" showAll="0"/>
    <pivotField compact="0" numFmtId="1" outline="0" showAll="0"/>
    <pivotField compact="0" outline="0" showAll="0"/>
    <pivotField compact="0" numFmtId="164" outline="0" showAll="0"/>
    <pivotField compact="0" outline="0" showAll="0">
      <items count="4">
        <item x="1"/>
        <item x="2"/>
        <item x="0"/>
        <item t="default"/>
      </items>
    </pivotField>
    <pivotField compact="0" outline="0" showAll="0">
      <items count="4">
        <item x="1"/>
        <item x="2"/>
        <item x="0"/>
        <item t="default"/>
      </items>
    </pivotField>
    <pivotField compact="0" outline="0" showAll="0">
      <items count="4">
        <item x="2"/>
        <item x="0"/>
        <item x="1"/>
        <item t="default"/>
      </items>
    </pivotField>
  </pivotFields>
  <rowFields count="1">
    <field x="0"/>
  </rowFields>
  <rowItems count="10">
    <i>
      <x v="77"/>
    </i>
    <i>
      <x v="78"/>
    </i>
    <i>
      <x v="55"/>
    </i>
    <i>
      <x v="38"/>
    </i>
    <i>
      <x v="41"/>
    </i>
    <i>
      <x v="24"/>
    </i>
    <i>
      <x v="56"/>
    </i>
    <i>
      <x v="88"/>
    </i>
    <i>
      <x v="44"/>
    </i>
    <i>
      <x v="48"/>
    </i>
  </rowItems>
  <colItems count="1">
    <i/>
  </colItems>
  <dataFields count="1">
    <dataField name="Average of Discount" fld="3" subtotal="average" baseField="0" baseItem="53" numFmtId="9"/>
  </dataFields>
  <formats count="2">
    <format dxfId="1">
      <pivotArea outline="0" collapsedLevelsAreSubtotals="1" fieldPosition="0"/>
    </format>
    <format dxfId="0">
      <pivotArea outline="0" fieldPosition="0">
        <references count="1">
          <reference field="4294967294" count="1">
            <x v="0"/>
          </reference>
        </references>
      </pivotArea>
    </format>
  </formats>
  <pivotTableStyleInfo name="PivotStyleLight16" showRowHeaders="1" showColHeaders="1" showRowStripes="0" showColStripes="0" showLastColumn="1"/>
  <filters count="1">
    <filter fld="0" type="count" evalOrder="-1" id="7"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8A59E3-3BE8-42F3-B3CB-AD2F42E86BD4}"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7">
  <location ref="D3:E6" firstHeaderRow="1" firstDataRow="1" firstDataCol="1"/>
  <pivotFields count="10">
    <pivotField dataField="1" compact="0" outline="0" showAll="0"/>
    <pivotField compact="0" numFmtId="1" outline="0" showAll="0"/>
    <pivotField compact="0" numFmtId="1" outline="0" showAll="0"/>
    <pivotField compact="0" numFmtId="9" outline="0" showAll="0"/>
    <pivotField compact="0" numFmtId="1" outline="0" showAll="0"/>
    <pivotField compact="0" outline="0" showAll="0"/>
    <pivotField compact="0" numFmtId="164" outline="0" showAll="0"/>
    <pivotField compact="0" outline="0" showAll="0" sortType="descending">
      <items count="4">
        <item x="0"/>
        <item x="2"/>
        <item x="1"/>
        <item t="default"/>
      </items>
      <autoSortScope>
        <pivotArea dataOnly="0" outline="0" fieldPosition="0">
          <references count="1">
            <reference field="4294967294" count="1" selected="0">
              <x v="0"/>
            </reference>
          </references>
        </pivotArea>
      </autoSortScope>
    </pivotField>
    <pivotField compact="0" outline="0" showAll="0">
      <items count="4">
        <item x="1"/>
        <item x="2"/>
        <item x="0"/>
        <item t="default"/>
      </items>
    </pivotField>
    <pivotField axis="axisRow" compact="0" outline="0" showAll="0" sortType="descending">
      <items count="4">
        <item x="1"/>
        <item x="0"/>
        <item x="2"/>
        <item t="default"/>
      </items>
    </pivotField>
  </pivotFields>
  <rowFields count="1">
    <field x="9"/>
  </rowFields>
  <rowItems count="3">
    <i>
      <x/>
    </i>
    <i>
      <x v="1"/>
    </i>
    <i>
      <x v="2"/>
    </i>
  </rowItems>
  <colItems count="1">
    <i/>
  </colItems>
  <dataFields count="1">
    <dataField name="Count of Product" fld="0" subtotal="count" baseField="0" baseItem="0"/>
  </dataFields>
  <formats count="1">
    <format dxfId="2">
      <pivotArea outline="0" collapsedLevelsAreSubtotals="1" fieldPosition="0"/>
    </format>
  </formats>
  <chartFormats count="5">
    <chartFormat chart="3"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9" count="1" selected="0">
            <x v="1"/>
          </reference>
        </references>
      </pivotArea>
    </chartFormat>
    <chartFormat chart="6" format="4">
      <pivotArea type="data" outline="0" fieldPosition="0">
        <references count="2">
          <reference field="4294967294" count="1" selected="0">
            <x v="0"/>
          </reference>
          <reference field="9" count="1" selected="0">
            <x v="2"/>
          </reference>
        </references>
      </pivotArea>
    </chartFormat>
    <chartFormat chart="6" format="5">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A190F1-4355-46A0-ABA3-13D488BBC80C}"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4:B5" firstHeaderRow="1" firstDataRow="1" firstDataCol="1"/>
  <pivotFields count="10">
    <pivotField axis="axisRow" compact="0" outline="0" showAll="0" measureFilter="1">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dataField="1" compact="0" numFmtId="1" outline="0" showAll="0"/>
    <pivotField compact="0" numFmtId="1" outline="0" showAll="0"/>
    <pivotField compact="0" numFmtId="9" outline="0" showAll="0"/>
    <pivotField compact="0" numFmtId="1" outline="0" showAll="0"/>
    <pivotField compact="0" outline="0" showAll="0"/>
    <pivotField compact="0" numFmtId="164" outline="0" showAll="0"/>
    <pivotField compact="0" outline="0" showAll="0">
      <items count="4">
        <item x="1"/>
        <item x="2"/>
        <item x="0"/>
        <item t="default"/>
      </items>
    </pivotField>
    <pivotField compact="0" outline="0" showAll="0">
      <items count="4">
        <item x="1"/>
        <item x="2"/>
        <item x="0"/>
        <item t="default"/>
      </items>
    </pivotField>
    <pivotField compact="0" outline="0" showAll="0">
      <items count="4">
        <item x="2"/>
        <item x="0"/>
        <item x="1"/>
        <item t="default"/>
      </items>
    </pivotField>
  </pivotFields>
  <rowFields count="1">
    <field x="0"/>
  </rowFields>
  <rowItems count="1">
    <i>
      <x v="16"/>
    </i>
  </rowItems>
  <colItems count="1">
    <i/>
  </colItems>
  <dataFields count="1">
    <dataField name="Sum of Current price" fld="1" baseField="0" baseItem="0" numFmtId="1"/>
  </dataFields>
  <pivotTableStyleInfo name="PivotStyleLight16" showRowHeaders="1" showColHeaders="1" showRowStripes="0" showColStripes="0" showLastColumn="1"/>
  <filters count="1">
    <filter fld="0"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BCF2FC-76DF-44EC-9350-78C7A7F5EC15}"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D43:E53" firstHeaderRow="1" firstDataRow="1" firstDataCol="1"/>
  <pivotFields count="10">
    <pivotField axis="axisRow" compact="0" outline="0"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compact="0" numFmtId="1" outline="0" showAll="0"/>
    <pivotField compact="0" numFmtId="1" outline="0" showAll="0"/>
    <pivotField compact="0" numFmtId="9" outline="0" showAll="0"/>
    <pivotField compact="0" numFmtId="1" outline="0" showAll="0"/>
    <pivotField dataField="1" compact="0" outline="0" showAll="0"/>
    <pivotField compact="0" numFmtId="164" outline="0" showAll="0"/>
    <pivotField compact="0" outline="0" showAll="0">
      <items count="4">
        <item x="1"/>
        <item x="2"/>
        <item x="0"/>
        <item t="default"/>
      </items>
    </pivotField>
    <pivotField compact="0" outline="0" showAll="0">
      <items count="4">
        <item x="1"/>
        <item x="2"/>
        <item x="0"/>
        <item t="default"/>
      </items>
    </pivotField>
    <pivotField compact="0" outline="0" showAll="0">
      <items count="4">
        <item x="2"/>
        <item x="0"/>
        <item x="1"/>
        <item t="default"/>
      </items>
    </pivotField>
  </pivotFields>
  <rowFields count="1">
    <field x="0"/>
  </rowFields>
  <rowItems count="10">
    <i>
      <x v="52"/>
    </i>
    <i>
      <x v="68"/>
    </i>
    <i>
      <x v="65"/>
    </i>
    <i>
      <x v="40"/>
    </i>
    <i>
      <x v="87"/>
    </i>
    <i>
      <x v="44"/>
    </i>
    <i>
      <x v="57"/>
    </i>
    <i>
      <x v="70"/>
    </i>
    <i>
      <x v="90"/>
    </i>
    <i>
      <x v="22"/>
    </i>
  </rowItems>
  <colItems count="1">
    <i/>
  </colItems>
  <dataFields count="1">
    <dataField name="Sum of Ratings " fld="5" baseField="0" baseItem="0"/>
  </dataFields>
  <formats count="1">
    <format dxfId="3">
      <pivotArea outline="0" collapsedLevelsAreSubtotals="1" fieldPosition="0"/>
    </format>
  </formats>
  <pivotTableStyleInfo name="PivotStyleLight16" showRowHeaders="1" showColHeaders="1" showRowStripes="0" showColStripes="0" showLastColumn="1"/>
  <filters count="1">
    <filter fld="0" type="count" evalOrder="-1" id="8"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E2598BA-F5BE-40CF-AC73-ECBFA08A7C9D}"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
  <location ref="D8:E11" firstHeaderRow="1" firstDataRow="1" firstDataCol="1"/>
  <pivotFields count="10">
    <pivotField dataField="1" compact="0" outline="0" showAll="0"/>
    <pivotField compact="0" numFmtId="1" outline="0" showAll="0"/>
    <pivotField compact="0" numFmtId="1" outline="0" showAll="0"/>
    <pivotField compact="0" numFmtId="9" outline="0" showAll="0"/>
    <pivotField compact="0" numFmtId="1" outline="0" showAll="0"/>
    <pivotField compact="0" outline="0" showAll="0"/>
    <pivotField compact="0" numFmtId="164" outline="0" showAll="0"/>
    <pivotField axis="axisRow" compact="0" outline="0" showAll="0" sortType="descending">
      <items count="4">
        <item x="0"/>
        <item x="2"/>
        <item x="1"/>
        <item t="default"/>
      </items>
      <autoSortScope>
        <pivotArea dataOnly="0" outline="0" fieldPosition="0">
          <references count="1">
            <reference field="4294967294" count="1" selected="0">
              <x v="0"/>
            </reference>
          </references>
        </pivotArea>
      </autoSortScope>
    </pivotField>
    <pivotField compact="0" outline="0" showAll="0">
      <items count="4">
        <item x="1"/>
        <item x="2"/>
        <item x="0"/>
        <item t="default"/>
      </items>
    </pivotField>
    <pivotField compact="0" outline="0" showAll="0">
      <items count="4">
        <item x="2"/>
        <item x="0"/>
        <item x="1"/>
        <item t="default"/>
      </items>
    </pivotField>
  </pivotFields>
  <rowFields count="1">
    <field x="7"/>
  </rowFields>
  <rowItems count="3">
    <i>
      <x v="1"/>
    </i>
    <i>
      <x/>
    </i>
    <i>
      <x v="2"/>
    </i>
  </rowItems>
  <colItems count="1">
    <i/>
  </colItems>
  <dataFields count="1">
    <dataField name="Count of Product" fld="0" subtotal="count" baseField="0" baseItem="0"/>
  </dataFields>
  <formats count="3">
    <format dxfId="6">
      <pivotArea outline="0" collapsedLevelsAreSubtotals="1" fieldPosition="0"/>
    </format>
    <format dxfId="5">
      <pivotArea outline="0" fieldPosition="0">
        <references count="1">
          <reference field="7" count="1" selected="0">
            <x v="0"/>
          </reference>
        </references>
      </pivotArea>
    </format>
    <format dxfId="4">
      <pivotArea outline="0" fieldPosition="0">
        <references count="1">
          <reference field="7" count="2" selected="0">
            <x v="1"/>
            <x v="2"/>
          </reference>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716A3FD-E353-4E31-B5E2-B9D9FD2EE0E7}"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
  <location ref="D14:E17" firstHeaderRow="1" firstDataRow="1" firstDataCol="1"/>
  <pivotFields count="10">
    <pivotField dataField="1" compact="0" outline="0" showAll="0"/>
    <pivotField compact="0" numFmtId="1" outline="0" showAll="0"/>
    <pivotField compact="0" numFmtId="1" outline="0" showAll="0"/>
    <pivotField compact="0" numFmtId="9" outline="0" showAll="0"/>
    <pivotField compact="0" numFmtId="1" outline="0" showAll="0"/>
    <pivotField compact="0" outline="0" showAll="0"/>
    <pivotField compact="0" numFmtId="164" outline="0" showAll="0"/>
    <pivotField compact="0" outline="0" showAll="0">
      <items count="4">
        <item x="1"/>
        <item x="2"/>
        <item x="0"/>
        <item t="default"/>
      </items>
    </pivotField>
    <pivotField axis="axisRow" compact="0" outline="0" showAll="0">
      <items count="4">
        <item x="1"/>
        <item x="2"/>
        <item x="0"/>
        <item t="default"/>
      </items>
    </pivotField>
    <pivotField compact="0" outline="0" showAll="0">
      <items count="4">
        <item x="2"/>
        <item x="0"/>
        <item x="1"/>
        <item t="default"/>
      </items>
    </pivotField>
  </pivotFields>
  <rowFields count="1">
    <field x="8"/>
  </rowFields>
  <rowItems count="3">
    <i>
      <x/>
    </i>
    <i>
      <x v="1"/>
    </i>
    <i>
      <x v="2"/>
    </i>
  </rowItems>
  <colItems count="1">
    <i/>
  </colItems>
  <dataFields count="1">
    <dataField name="Count of Product" fld="0" subtotal="count" baseField="0" baseItem="0"/>
  </dataFields>
  <formats count="1">
    <format dxfId="7">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FAE03E8-F46B-4050-83E1-BF8DDA243E4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E2" firstHeaderRow="0" firstDataRow="1" firstDataCol="0"/>
  <pivotFields count="10">
    <pivotField dataField="1" showAll="0"/>
    <pivotField dataField="1" numFmtId="1" showAll="0"/>
    <pivotField numFmtId="1" showAll="0"/>
    <pivotField dataField="1" numFmtId="9" showAll="0"/>
    <pivotField dataField="1" numFmtId="1" showAll="0"/>
    <pivotField dataField="1" showAll="0"/>
    <pivotField numFmtId="164" showAll="0"/>
    <pivotField showAll="0">
      <items count="4">
        <item x="1"/>
        <item x="2"/>
        <item x="0"/>
        <item t="default"/>
      </items>
    </pivotField>
    <pivotField showAll="0">
      <items count="4">
        <item x="1"/>
        <item x="2"/>
        <item x="0"/>
        <item t="default"/>
      </items>
    </pivotField>
    <pivotField showAll="0">
      <items count="4">
        <item x="2"/>
        <item x="0"/>
        <item x="1"/>
        <item t="default"/>
      </items>
    </pivotField>
  </pivotFields>
  <rowItems count="1">
    <i/>
  </rowItems>
  <colFields count="1">
    <field x="-2"/>
  </colFields>
  <colItems count="5">
    <i>
      <x/>
    </i>
    <i i="1">
      <x v="1"/>
    </i>
    <i i="2">
      <x v="2"/>
    </i>
    <i i="3">
      <x v="3"/>
    </i>
    <i i="4">
      <x v="4"/>
    </i>
  </colItems>
  <dataFields count="5">
    <dataField name="Average of Current price" fld="1" subtotal="average" baseField="0" baseItem="0" numFmtId="1"/>
    <dataField name="Average of Discount" fld="3" subtotal="average" baseField="0" baseItem="1" numFmtId="9"/>
    <dataField name="Average of Ratings " fld="5" subtotal="average" baseField="0" baseItem="2" numFmtId="2"/>
    <dataField name="Count of Product" fld="0" subtotal="count" baseField="0" baseItem="0"/>
    <dataField name="Sum of Review" fld="4" baseField="0" baseItem="0" numFmtId="1"/>
  </dataFields>
  <formats count="1">
    <format dxfId="8">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B87A54C-8B0C-40CE-AC51-0785AF1402B8}"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8:B9" firstHeaderRow="1" firstDataRow="1" firstDataCol="1"/>
  <pivotFields count="10">
    <pivotField axis="axisRow" compact="0" outline="0" showAll="0" measureFilter="1">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dataField="1" compact="0" numFmtId="1" outline="0" showAll="0"/>
    <pivotField compact="0" numFmtId="1" outline="0" showAll="0"/>
    <pivotField compact="0" numFmtId="9" outline="0" showAll="0"/>
    <pivotField compact="0" numFmtId="1" outline="0" showAll="0"/>
    <pivotField compact="0" outline="0" showAll="0"/>
    <pivotField compact="0" numFmtId="164" outline="0" showAll="0"/>
    <pivotField compact="0" outline="0" showAll="0">
      <items count="4">
        <item x="1"/>
        <item x="2"/>
        <item x="0"/>
        <item t="default"/>
      </items>
    </pivotField>
    <pivotField compact="0" outline="0" showAll="0">
      <items count="4">
        <item x="1"/>
        <item x="2"/>
        <item x="0"/>
        <item t="default"/>
      </items>
    </pivotField>
    <pivotField compact="0" outline="0" showAll="0">
      <items count="4">
        <item x="2"/>
        <item x="0"/>
        <item x="1"/>
        <item t="default"/>
      </items>
    </pivotField>
  </pivotFields>
  <rowFields count="1">
    <field x="0"/>
  </rowFields>
  <rowItems count="1">
    <i>
      <x v="20"/>
    </i>
  </rowItems>
  <colItems count="1">
    <i/>
  </colItems>
  <dataFields count="1">
    <dataField name="Sum of Current price" fld="1" baseField="0" baseItem="0" numFmtId="1"/>
  </dataFields>
  <pivotTableStyleInfo name="PivotStyleLight16" showRowHeaders="1" showColHeaders="1" showRowStripes="0" showColStripes="0" showLastColumn="1"/>
  <filters count="1">
    <filter fld="0" type="count" evalOrder="-1" id="2" iMeasureFld="0">
      <autoFilter ref="A1">
        <filterColumn colId="0">
          <top10 top="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8137C3F-D3E0-4A03-A2C0-4C498A8055A7}"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D31:E41" firstHeaderRow="1" firstDataRow="1" firstDataCol="1"/>
  <pivotFields count="10">
    <pivotField axis="axisRow" compact="0" outline="0"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compact="0" numFmtId="1" outline="0" showAll="0"/>
    <pivotField compact="0" numFmtId="1" outline="0" showAll="0"/>
    <pivotField compact="0" numFmtId="9" outline="0" showAll="0"/>
    <pivotField dataField="1" compact="0" numFmtId="1" outline="0" showAll="0"/>
    <pivotField compact="0" outline="0" showAll="0"/>
    <pivotField compact="0" numFmtId="164" outline="0" showAll="0"/>
    <pivotField compact="0" outline="0" showAll="0">
      <items count="4">
        <item x="1"/>
        <item x="2"/>
        <item x="0"/>
        <item t="default"/>
      </items>
    </pivotField>
    <pivotField compact="0" outline="0" showAll="0">
      <items count="4">
        <item x="1"/>
        <item x="2"/>
        <item x="0"/>
        <item t="default"/>
      </items>
    </pivotField>
    <pivotField compact="0" outline="0" showAll="0">
      <items count="4">
        <item x="2"/>
        <item x="0"/>
        <item x="1"/>
        <item t="default"/>
      </items>
    </pivotField>
  </pivotFields>
  <rowFields count="1">
    <field x="0"/>
  </rowFields>
  <rowItems count="10">
    <i>
      <x v="5"/>
    </i>
    <i>
      <x v="8"/>
    </i>
    <i>
      <x v="59"/>
    </i>
    <i>
      <x v="18"/>
    </i>
    <i>
      <x v="1"/>
    </i>
    <i>
      <x v="95"/>
    </i>
    <i>
      <x v="27"/>
    </i>
    <i>
      <x v="91"/>
    </i>
    <i>
      <x v="28"/>
    </i>
    <i>
      <x v="26"/>
    </i>
  </rowItems>
  <colItems count="1">
    <i/>
  </colItems>
  <dataFields count="1">
    <dataField name="Sum of Review" fld="4" baseField="0" baseItem="0" numFmtId="1"/>
  </dataFields>
  <formats count="2">
    <format dxfId="10">
      <pivotArea outline="0" fieldPosition="0">
        <references count="1">
          <reference field="0" count="1" selected="0">
            <x v="8"/>
          </reference>
        </references>
      </pivotArea>
    </format>
    <format dxfId="9">
      <pivotArea outline="0" collapsedLevelsAreSubtotals="1" fieldPosition="0"/>
    </format>
  </formats>
  <pivotTableStyleInfo name="PivotStyleLight16" showRowHeaders="1" showColHeaders="1" showRowStripes="0" showColStripes="0" showLastColumn="1"/>
  <filters count="1">
    <filter fld="0" type="count" evalOrder="-1" id="9"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6CC29034-1768-4365-85A8-9C6528686907}" sourceName="Discount_category">
  <pivotTables>
    <pivotTable tabId="2" name="PivotTable11"/>
    <pivotTable tabId="2" name="PivotTable1"/>
    <pivotTable tabId="2" name="PivotTable10"/>
    <pivotTable tabId="2" name="PivotTable12"/>
    <pivotTable tabId="2" name="PivotTable13"/>
    <pivotTable tabId="2" name="PivotTable14"/>
    <pivotTable tabId="2" name="PivotTable2"/>
    <pivotTable tabId="2" name="PivotTable3"/>
    <pivotTable tabId="2" name="PivotTable5"/>
  </pivotTables>
  <data>
    <tabular pivotCacheId="96422163">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001AD4C0-413A-4A7F-A46A-B9A7781BD735}" sourceName="Rating_category">
  <pivotTables>
    <pivotTable tabId="2" name="PivotTable12"/>
    <pivotTable tabId="2" name="PivotTable1"/>
    <pivotTable tabId="2" name="PivotTable10"/>
    <pivotTable tabId="2" name="PivotTable11"/>
    <pivotTable tabId="2" name="PivotTable13"/>
    <pivotTable tabId="2" name="PivotTable14"/>
    <pivotTable tabId="2" name="PivotTable2"/>
    <pivotTable tabId="2" name="PivotTable3"/>
    <pivotTable tabId="2" name="PivotTable5"/>
  </pivotTables>
  <data>
    <tabular pivotCacheId="96422163">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category" xr10:uid="{F93507AC-60F1-44E5-9A55-C4E26D629A3D}" sourceName="price_category">
  <pivotTables>
    <pivotTable tabId="2" name="PivotTable12"/>
    <pivotTable tabId="2" name="PivotTable1"/>
    <pivotTable tabId="2" name="PivotTable10"/>
    <pivotTable tabId="2" name="PivotTable11"/>
    <pivotTable tabId="2" name="PivotTable13"/>
    <pivotTable tabId="2" name="PivotTable14"/>
    <pivotTable tabId="2" name="PivotTable2"/>
    <pivotTable tabId="2" name="PivotTable3"/>
    <pivotTable tabId="2" name="PivotTable5"/>
  </pivotTables>
  <data>
    <tabular pivotCacheId="96422163">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_category" xr10:uid="{E4E6406E-DD4A-4400-9439-49028327CD65}" cache="Slicer_Discount_category" caption="Discount_category" rowHeight="241300"/>
  <slicer name="Rating_category 1" xr10:uid="{50FC12DE-2B11-4BDF-BBB2-36B766AE221A}" cache="Slicer_Rating_category" caption="Rating_category" rowHeight="241300"/>
  <slicer name="price_category" xr10:uid="{EBE08CB1-42C2-42B0-A163-CB93270B0814}" cache="Slicer_price_category" caption="price_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EA103-243D-4D62-9ECD-979AB7D31974}">
  <dimension ref="A1:F116"/>
  <sheetViews>
    <sheetView workbookViewId="0">
      <selection activeCell="H5" sqref="H5"/>
    </sheetView>
  </sheetViews>
  <sheetFormatPr defaultRowHeight="14.5" x14ac:dyDescent="0.35"/>
  <sheetData>
    <row r="1" spans="1:6" x14ac:dyDescent="0.35">
      <c r="A1" t="s">
        <v>0</v>
      </c>
      <c r="B1" t="s">
        <v>1</v>
      </c>
      <c r="C1" t="s">
        <v>2</v>
      </c>
      <c r="D1" t="s">
        <v>3</v>
      </c>
      <c r="E1" t="s">
        <v>4</v>
      </c>
      <c r="F1" t="s">
        <v>5</v>
      </c>
    </row>
    <row r="2" spans="1:6" x14ac:dyDescent="0.35">
      <c r="A2" t="s">
        <v>6</v>
      </c>
      <c r="B2" t="s">
        <v>7</v>
      </c>
      <c r="C2" t="s">
        <v>8</v>
      </c>
      <c r="D2" s="1">
        <v>0.38</v>
      </c>
      <c r="E2">
        <v>-2</v>
      </c>
      <c r="F2" t="s">
        <v>9</v>
      </c>
    </row>
    <row r="3" spans="1:6" x14ac:dyDescent="0.35">
      <c r="A3" t="s">
        <v>10</v>
      </c>
      <c r="B3" t="s">
        <v>11</v>
      </c>
      <c r="C3" t="s">
        <v>12</v>
      </c>
      <c r="D3" s="1">
        <v>0.47</v>
      </c>
      <c r="E3">
        <v>-14</v>
      </c>
      <c r="F3" t="s">
        <v>13</v>
      </c>
    </row>
    <row r="4" spans="1:6" x14ac:dyDescent="0.35">
      <c r="A4" t="s">
        <v>14</v>
      </c>
      <c r="B4" t="s">
        <v>15</v>
      </c>
      <c r="C4" t="s">
        <v>16</v>
      </c>
      <c r="D4" s="1">
        <v>0.25</v>
      </c>
      <c r="E4">
        <v>-24</v>
      </c>
      <c r="F4" t="s">
        <v>17</v>
      </c>
    </row>
    <row r="5" spans="1:6" x14ac:dyDescent="0.35">
      <c r="A5" t="s">
        <v>18</v>
      </c>
      <c r="B5" t="s">
        <v>19</v>
      </c>
      <c r="C5" t="s">
        <v>20</v>
      </c>
      <c r="D5" s="1">
        <v>0.37</v>
      </c>
      <c r="E5">
        <v>-7</v>
      </c>
      <c r="F5" t="s">
        <v>21</v>
      </c>
    </row>
    <row r="6" spans="1:6" x14ac:dyDescent="0.35">
      <c r="A6" t="s">
        <v>22</v>
      </c>
      <c r="B6" t="s">
        <v>23</v>
      </c>
      <c r="C6" t="s">
        <v>24</v>
      </c>
      <c r="D6" s="1">
        <v>0.26</v>
      </c>
      <c r="E6">
        <v>-5</v>
      </c>
      <c r="F6" t="s">
        <v>25</v>
      </c>
    </row>
    <row r="7" spans="1:6" x14ac:dyDescent="0.35">
      <c r="A7" t="s">
        <v>26</v>
      </c>
      <c r="B7" t="s">
        <v>27</v>
      </c>
      <c r="C7" t="s">
        <v>28</v>
      </c>
      <c r="D7" s="1">
        <v>0.09</v>
      </c>
      <c r="E7">
        <v>-15</v>
      </c>
      <c r="F7" t="s">
        <v>29</v>
      </c>
    </row>
    <row r="8" spans="1:6" x14ac:dyDescent="0.35">
      <c r="A8" t="s">
        <v>30</v>
      </c>
      <c r="B8" t="s">
        <v>31</v>
      </c>
      <c r="C8" t="s">
        <v>32</v>
      </c>
      <c r="D8" s="1">
        <v>0.24</v>
      </c>
      <c r="E8">
        <v>-55</v>
      </c>
      <c r="F8" t="s">
        <v>17</v>
      </c>
    </row>
    <row r="9" spans="1:6" x14ac:dyDescent="0.35">
      <c r="A9" t="s">
        <v>33</v>
      </c>
      <c r="B9" t="s">
        <v>34</v>
      </c>
      <c r="C9" t="s">
        <v>19</v>
      </c>
      <c r="D9" s="1">
        <v>0.37</v>
      </c>
      <c r="E9">
        <v>-2</v>
      </c>
      <c r="F9" t="s">
        <v>29</v>
      </c>
    </row>
    <row r="10" spans="1:6" x14ac:dyDescent="0.35">
      <c r="A10" t="s">
        <v>35</v>
      </c>
      <c r="B10" t="s">
        <v>36</v>
      </c>
      <c r="C10" t="s">
        <v>37</v>
      </c>
      <c r="D10" s="1">
        <v>0.55000000000000004</v>
      </c>
      <c r="E10">
        <v>-5</v>
      </c>
      <c r="F10" t="s">
        <v>25</v>
      </c>
    </row>
    <row r="11" spans="1:6" x14ac:dyDescent="0.35">
      <c r="A11" t="s">
        <v>38</v>
      </c>
      <c r="B11" t="s">
        <v>39</v>
      </c>
      <c r="C11" t="s">
        <v>40</v>
      </c>
      <c r="D11" s="1">
        <v>0.45</v>
      </c>
      <c r="E11">
        <v>-5</v>
      </c>
      <c r="F11" t="s">
        <v>41</v>
      </c>
    </row>
    <row r="12" spans="1:6" x14ac:dyDescent="0.35">
      <c r="A12" t="s">
        <v>42</v>
      </c>
      <c r="B12" t="s">
        <v>43</v>
      </c>
      <c r="C12" t="s">
        <v>12</v>
      </c>
      <c r="D12" s="1">
        <v>0.2</v>
      </c>
      <c r="E12">
        <v>-12</v>
      </c>
      <c r="F12" t="s">
        <v>13</v>
      </c>
    </row>
    <row r="13" spans="1:6" x14ac:dyDescent="0.35">
      <c r="A13" t="s">
        <v>44</v>
      </c>
      <c r="B13" t="s">
        <v>45</v>
      </c>
      <c r="C13" t="s">
        <v>46</v>
      </c>
      <c r="D13" s="1">
        <v>0.34</v>
      </c>
      <c r="E13">
        <v>-39</v>
      </c>
      <c r="F13" t="s">
        <v>21</v>
      </c>
    </row>
    <row r="14" spans="1:6" x14ac:dyDescent="0.35">
      <c r="A14" t="s">
        <v>47</v>
      </c>
      <c r="B14" t="s">
        <v>48</v>
      </c>
      <c r="C14" t="s">
        <v>49</v>
      </c>
      <c r="D14" s="1">
        <v>0.47</v>
      </c>
      <c r="E14">
        <v>-12</v>
      </c>
      <c r="F14" t="s">
        <v>25</v>
      </c>
    </row>
    <row r="15" spans="1:6" x14ac:dyDescent="0.35">
      <c r="A15" t="s">
        <v>50</v>
      </c>
      <c r="B15" t="s">
        <v>51</v>
      </c>
      <c r="C15" t="s">
        <v>52</v>
      </c>
      <c r="D15" s="1">
        <v>0.42</v>
      </c>
      <c r="E15">
        <v>-6</v>
      </c>
      <c r="F15" t="s">
        <v>9</v>
      </c>
    </row>
    <row r="16" spans="1:6" x14ac:dyDescent="0.35">
      <c r="A16" t="s">
        <v>53</v>
      </c>
      <c r="B16" t="s">
        <v>54</v>
      </c>
      <c r="C16" t="s">
        <v>20</v>
      </c>
      <c r="D16" s="1">
        <v>0.33</v>
      </c>
      <c r="E16">
        <v>-9</v>
      </c>
      <c r="F16" t="s">
        <v>55</v>
      </c>
    </row>
    <row r="17" spans="1:6" x14ac:dyDescent="0.35">
      <c r="A17" t="s">
        <v>56</v>
      </c>
      <c r="B17" t="s">
        <v>57</v>
      </c>
      <c r="C17" t="s">
        <v>58</v>
      </c>
      <c r="D17" s="1">
        <v>0.51</v>
      </c>
      <c r="E17">
        <v>-2</v>
      </c>
      <c r="F17" t="s">
        <v>59</v>
      </c>
    </row>
    <row r="18" spans="1:6" x14ac:dyDescent="0.35">
      <c r="A18" t="s">
        <v>60</v>
      </c>
      <c r="B18" t="s">
        <v>61</v>
      </c>
      <c r="C18" t="s">
        <v>62</v>
      </c>
      <c r="D18" s="1">
        <v>0.46</v>
      </c>
      <c r="E18">
        <v>-2</v>
      </c>
      <c r="F18" t="s">
        <v>59</v>
      </c>
    </row>
    <row r="19" spans="1:6" x14ac:dyDescent="0.35">
      <c r="A19" t="s">
        <v>63</v>
      </c>
      <c r="B19" t="s">
        <v>64</v>
      </c>
      <c r="C19" t="s">
        <v>65</v>
      </c>
      <c r="D19" s="1">
        <v>0.49</v>
      </c>
      <c r="E19">
        <v>-3</v>
      </c>
      <c r="F19" t="s">
        <v>59</v>
      </c>
    </row>
    <row r="20" spans="1:6" x14ac:dyDescent="0.35">
      <c r="A20" t="s">
        <v>66</v>
      </c>
      <c r="B20" t="s">
        <v>27</v>
      </c>
      <c r="C20" t="s">
        <v>67</v>
      </c>
      <c r="D20" s="1">
        <v>0.19</v>
      </c>
      <c r="E20">
        <v>-5</v>
      </c>
      <c r="F20" t="s">
        <v>17</v>
      </c>
    </row>
    <row r="21" spans="1:6" x14ac:dyDescent="0.35">
      <c r="A21" t="s">
        <v>68</v>
      </c>
      <c r="B21" t="s">
        <v>69</v>
      </c>
      <c r="C21" t="s">
        <v>70</v>
      </c>
      <c r="D21" s="1">
        <v>0.49</v>
      </c>
      <c r="E21">
        <v>-44</v>
      </c>
      <c r="F21" t="s">
        <v>17</v>
      </c>
    </row>
    <row r="22" spans="1:6" x14ac:dyDescent="0.35">
      <c r="A22" t="s">
        <v>71</v>
      </c>
      <c r="B22" t="s">
        <v>72</v>
      </c>
      <c r="C22" t="s">
        <v>73</v>
      </c>
      <c r="D22" s="1">
        <v>0.53</v>
      </c>
      <c r="E22">
        <v>-13</v>
      </c>
      <c r="F22" t="s">
        <v>74</v>
      </c>
    </row>
    <row r="23" spans="1:6" x14ac:dyDescent="0.35">
      <c r="A23" t="s">
        <v>75</v>
      </c>
      <c r="B23" t="s">
        <v>76</v>
      </c>
      <c r="C23" t="s">
        <v>77</v>
      </c>
      <c r="D23" s="1">
        <v>0.42</v>
      </c>
    </row>
    <row r="24" spans="1:6" x14ac:dyDescent="0.35">
      <c r="A24" t="s">
        <v>78</v>
      </c>
      <c r="B24" t="s">
        <v>79</v>
      </c>
      <c r="C24" t="s">
        <v>80</v>
      </c>
      <c r="D24" s="1">
        <v>0.35</v>
      </c>
      <c r="E24">
        <v>-6</v>
      </c>
      <c r="F24" t="s">
        <v>29</v>
      </c>
    </row>
    <row r="25" spans="1:6" x14ac:dyDescent="0.35">
      <c r="A25" t="s">
        <v>81</v>
      </c>
      <c r="B25" t="s">
        <v>82</v>
      </c>
      <c r="C25" t="s">
        <v>83</v>
      </c>
      <c r="D25" s="1">
        <v>0.23</v>
      </c>
      <c r="E25">
        <v>-14</v>
      </c>
      <c r="F25" t="s">
        <v>84</v>
      </c>
    </row>
    <row r="26" spans="1:6" x14ac:dyDescent="0.35">
      <c r="A26" t="s">
        <v>85</v>
      </c>
      <c r="B26" t="s">
        <v>86</v>
      </c>
      <c r="C26" t="s">
        <v>87</v>
      </c>
      <c r="D26" s="1">
        <v>0.54</v>
      </c>
      <c r="E26">
        <v>-7</v>
      </c>
      <c r="F26" t="s">
        <v>88</v>
      </c>
    </row>
    <row r="27" spans="1:6" x14ac:dyDescent="0.35">
      <c r="A27" t="s">
        <v>89</v>
      </c>
      <c r="B27" t="s">
        <v>90</v>
      </c>
      <c r="C27" t="s">
        <v>91</v>
      </c>
      <c r="D27" s="1">
        <v>0.35</v>
      </c>
      <c r="E27">
        <v>-49</v>
      </c>
      <c r="F27" t="s">
        <v>17</v>
      </c>
    </row>
    <row r="28" spans="1:6" x14ac:dyDescent="0.35">
      <c r="A28" t="s">
        <v>92</v>
      </c>
      <c r="B28" t="s">
        <v>93</v>
      </c>
      <c r="C28" t="s">
        <v>94</v>
      </c>
      <c r="D28" s="1">
        <v>0.18</v>
      </c>
      <c r="E28">
        <v>-12</v>
      </c>
      <c r="F28" t="s">
        <v>41</v>
      </c>
    </row>
    <row r="29" spans="1:6" x14ac:dyDescent="0.35">
      <c r="A29" t="s">
        <v>95</v>
      </c>
      <c r="B29" t="s">
        <v>80</v>
      </c>
      <c r="C29" t="s">
        <v>96</v>
      </c>
      <c r="D29" s="1">
        <v>0.32</v>
      </c>
      <c r="E29">
        <v>-13</v>
      </c>
      <c r="F29" t="s">
        <v>41</v>
      </c>
    </row>
    <row r="30" spans="1:6" x14ac:dyDescent="0.35">
      <c r="A30" t="s">
        <v>97</v>
      </c>
      <c r="B30" t="s">
        <v>98</v>
      </c>
      <c r="C30" t="s">
        <v>20</v>
      </c>
      <c r="D30" s="1">
        <v>0.3</v>
      </c>
      <c r="E30">
        <v>-20</v>
      </c>
      <c r="F30" t="s">
        <v>13</v>
      </c>
    </row>
    <row r="31" spans="1:6" x14ac:dyDescent="0.35">
      <c r="A31" t="s">
        <v>99</v>
      </c>
      <c r="B31" t="s">
        <v>100</v>
      </c>
      <c r="C31" t="s">
        <v>101</v>
      </c>
      <c r="D31" s="1">
        <v>0.46</v>
      </c>
    </row>
    <row r="32" spans="1:6" x14ac:dyDescent="0.35">
      <c r="A32" t="s">
        <v>102</v>
      </c>
      <c r="B32" t="s">
        <v>103</v>
      </c>
      <c r="C32" t="s">
        <v>104</v>
      </c>
      <c r="D32" s="1">
        <v>0.52</v>
      </c>
      <c r="E32">
        <v>-9</v>
      </c>
      <c r="F32" t="s">
        <v>88</v>
      </c>
    </row>
    <row r="33" spans="1:6" x14ac:dyDescent="0.35">
      <c r="A33" t="s">
        <v>105</v>
      </c>
      <c r="B33" t="s">
        <v>106</v>
      </c>
      <c r="C33" t="s">
        <v>107</v>
      </c>
      <c r="D33" s="1">
        <v>0.34</v>
      </c>
      <c r="E33">
        <v>-12</v>
      </c>
      <c r="F33" t="s">
        <v>21</v>
      </c>
    </row>
    <row r="34" spans="1:6" x14ac:dyDescent="0.35">
      <c r="A34" t="s">
        <v>108</v>
      </c>
      <c r="B34" t="s">
        <v>109</v>
      </c>
      <c r="C34" t="s">
        <v>110</v>
      </c>
      <c r="D34" s="1">
        <v>0.48</v>
      </c>
      <c r="E34">
        <v>-9</v>
      </c>
      <c r="F34" t="s">
        <v>88</v>
      </c>
    </row>
    <row r="35" spans="1:6" x14ac:dyDescent="0.35">
      <c r="A35" t="s">
        <v>111</v>
      </c>
      <c r="B35" t="s">
        <v>112</v>
      </c>
      <c r="C35" t="s">
        <v>113</v>
      </c>
      <c r="D35" s="1">
        <v>0.27</v>
      </c>
      <c r="E35">
        <v>-20</v>
      </c>
      <c r="F35" t="s">
        <v>21</v>
      </c>
    </row>
    <row r="36" spans="1:6" x14ac:dyDescent="0.35">
      <c r="A36" t="s">
        <v>114</v>
      </c>
      <c r="B36" t="s">
        <v>115</v>
      </c>
      <c r="C36" t="s">
        <v>116</v>
      </c>
      <c r="D36" s="1">
        <v>0.27</v>
      </c>
      <c r="E36">
        <v>-32</v>
      </c>
      <c r="F36" t="s">
        <v>9</v>
      </c>
    </row>
    <row r="37" spans="1:6" x14ac:dyDescent="0.35">
      <c r="A37" t="s">
        <v>117</v>
      </c>
      <c r="B37" t="s">
        <v>118</v>
      </c>
      <c r="C37" t="s">
        <v>119</v>
      </c>
      <c r="D37" s="1">
        <v>0.4</v>
      </c>
      <c r="E37">
        <v>-1</v>
      </c>
      <c r="F37" t="s">
        <v>59</v>
      </c>
    </row>
    <row r="38" spans="1:6" x14ac:dyDescent="0.35">
      <c r="A38" t="s">
        <v>120</v>
      </c>
      <c r="B38" t="s">
        <v>121</v>
      </c>
      <c r="C38" t="s">
        <v>62</v>
      </c>
      <c r="D38" s="1">
        <v>0.53</v>
      </c>
      <c r="E38">
        <v>-2</v>
      </c>
      <c r="F38" t="s">
        <v>59</v>
      </c>
    </row>
    <row r="39" spans="1:6" x14ac:dyDescent="0.35">
      <c r="A39" t="s">
        <v>122</v>
      </c>
      <c r="B39" t="s">
        <v>123</v>
      </c>
      <c r="C39" t="s">
        <v>124</v>
      </c>
      <c r="D39" s="1">
        <v>0.41</v>
      </c>
      <c r="E39">
        <v>-36</v>
      </c>
      <c r="F39" t="s">
        <v>88</v>
      </c>
    </row>
    <row r="40" spans="1:6" x14ac:dyDescent="0.35">
      <c r="A40" t="s">
        <v>125</v>
      </c>
      <c r="B40" t="s">
        <v>126</v>
      </c>
      <c r="C40" t="s">
        <v>127</v>
      </c>
      <c r="D40" s="1">
        <v>0.38</v>
      </c>
      <c r="E40">
        <v>-2</v>
      </c>
      <c r="F40" t="s">
        <v>9</v>
      </c>
    </row>
    <row r="41" spans="1:6" x14ac:dyDescent="0.35">
      <c r="A41" t="s">
        <v>128</v>
      </c>
      <c r="B41" t="s">
        <v>129</v>
      </c>
      <c r="C41" t="s">
        <v>130</v>
      </c>
      <c r="D41" s="1">
        <v>0.38</v>
      </c>
    </row>
    <row r="42" spans="1:6" x14ac:dyDescent="0.35">
      <c r="A42" t="s">
        <v>131</v>
      </c>
      <c r="B42" t="s">
        <v>132</v>
      </c>
      <c r="C42" t="s">
        <v>133</v>
      </c>
      <c r="D42" s="1">
        <v>0.49</v>
      </c>
    </row>
    <row r="43" spans="1:6" x14ac:dyDescent="0.35">
      <c r="A43" t="s">
        <v>134</v>
      </c>
      <c r="B43" t="s">
        <v>135</v>
      </c>
      <c r="C43" t="s">
        <v>136</v>
      </c>
      <c r="D43" s="1">
        <v>0.5</v>
      </c>
    </row>
    <row r="44" spans="1:6" x14ac:dyDescent="0.35">
      <c r="A44" t="s">
        <v>137</v>
      </c>
      <c r="B44" t="s">
        <v>138</v>
      </c>
      <c r="C44" t="s">
        <v>139</v>
      </c>
      <c r="D44" s="1">
        <v>0.42</v>
      </c>
    </row>
    <row r="45" spans="1:6" x14ac:dyDescent="0.35">
      <c r="A45" t="s">
        <v>137</v>
      </c>
      <c r="B45" t="s">
        <v>138</v>
      </c>
      <c r="C45" t="s">
        <v>139</v>
      </c>
      <c r="D45" s="1">
        <v>0.42</v>
      </c>
    </row>
    <row r="46" spans="1:6" x14ac:dyDescent="0.35">
      <c r="A46" t="s">
        <v>140</v>
      </c>
      <c r="B46" t="s">
        <v>141</v>
      </c>
      <c r="C46" t="s">
        <v>142</v>
      </c>
      <c r="D46" s="1">
        <v>0.02</v>
      </c>
    </row>
    <row r="47" spans="1:6" x14ac:dyDescent="0.35">
      <c r="A47" t="s">
        <v>143</v>
      </c>
      <c r="B47" t="s">
        <v>12</v>
      </c>
      <c r="C47" t="s">
        <v>144</v>
      </c>
      <c r="D47" s="1">
        <v>0.5</v>
      </c>
    </row>
    <row r="48" spans="1:6" x14ac:dyDescent="0.35">
      <c r="A48" t="s">
        <v>145</v>
      </c>
      <c r="B48" t="s">
        <v>146</v>
      </c>
      <c r="C48" t="s">
        <v>147</v>
      </c>
      <c r="D48" s="1">
        <v>0.33</v>
      </c>
    </row>
    <row r="49" spans="1:6" x14ac:dyDescent="0.35">
      <c r="A49" t="s">
        <v>148</v>
      </c>
      <c r="B49" t="s">
        <v>149</v>
      </c>
      <c r="C49" t="s">
        <v>150</v>
      </c>
      <c r="D49" s="1">
        <v>0.49</v>
      </c>
    </row>
    <row r="50" spans="1:6" x14ac:dyDescent="0.35">
      <c r="A50" t="s">
        <v>151</v>
      </c>
      <c r="B50" t="s">
        <v>152</v>
      </c>
      <c r="C50" t="s">
        <v>153</v>
      </c>
      <c r="D50" s="1">
        <v>0.38</v>
      </c>
    </row>
    <row r="51" spans="1:6" x14ac:dyDescent="0.35">
      <c r="A51" t="s">
        <v>154</v>
      </c>
      <c r="B51" t="s">
        <v>155</v>
      </c>
      <c r="C51" t="s">
        <v>156</v>
      </c>
      <c r="D51" s="1">
        <v>0.61</v>
      </c>
    </row>
    <row r="52" spans="1:6" x14ac:dyDescent="0.35">
      <c r="A52" t="s">
        <v>157</v>
      </c>
      <c r="B52" t="s">
        <v>158</v>
      </c>
      <c r="C52" t="s">
        <v>159</v>
      </c>
      <c r="D52" s="1">
        <v>0.5</v>
      </c>
    </row>
    <row r="53" spans="1:6" x14ac:dyDescent="0.35">
      <c r="A53" t="s">
        <v>160</v>
      </c>
      <c r="B53" t="s">
        <v>161</v>
      </c>
      <c r="C53" t="s">
        <v>162</v>
      </c>
      <c r="D53" s="1">
        <v>0.02</v>
      </c>
    </row>
    <row r="54" spans="1:6" x14ac:dyDescent="0.35">
      <c r="A54" t="s">
        <v>163</v>
      </c>
      <c r="B54" t="s">
        <v>158</v>
      </c>
      <c r="C54" t="s">
        <v>164</v>
      </c>
      <c r="D54" s="1">
        <v>0.22</v>
      </c>
    </row>
    <row r="55" spans="1:6" x14ac:dyDescent="0.35">
      <c r="A55" t="s">
        <v>165</v>
      </c>
      <c r="B55" t="s">
        <v>166</v>
      </c>
      <c r="C55" t="s">
        <v>167</v>
      </c>
      <c r="D55" s="1">
        <v>0.03</v>
      </c>
    </row>
    <row r="56" spans="1:6" x14ac:dyDescent="0.35">
      <c r="A56" t="s">
        <v>168</v>
      </c>
      <c r="B56" t="s">
        <v>43</v>
      </c>
      <c r="C56" t="s">
        <v>169</v>
      </c>
      <c r="D56" s="1">
        <v>0.41</v>
      </c>
    </row>
    <row r="57" spans="1:6" x14ac:dyDescent="0.35">
      <c r="A57" t="s">
        <v>170</v>
      </c>
      <c r="B57" t="s">
        <v>171</v>
      </c>
      <c r="C57" t="s">
        <v>172</v>
      </c>
      <c r="D57" s="1">
        <v>0.45</v>
      </c>
    </row>
    <row r="58" spans="1:6" x14ac:dyDescent="0.35">
      <c r="A58" t="s">
        <v>173</v>
      </c>
      <c r="B58" t="s">
        <v>174</v>
      </c>
      <c r="C58" t="s">
        <v>169</v>
      </c>
      <c r="D58" s="1">
        <v>0.48</v>
      </c>
    </row>
    <row r="59" spans="1:6" x14ac:dyDescent="0.35">
      <c r="A59" t="s">
        <v>175</v>
      </c>
      <c r="B59" t="s">
        <v>43</v>
      </c>
      <c r="C59" t="s">
        <v>176</v>
      </c>
      <c r="D59" s="1">
        <v>0.49</v>
      </c>
    </row>
    <row r="60" spans="1:6" x14ac:dyDescent="0.35">
      <c r="A60" t="s">
        <v>177</v>
      </c>
      <c r="B60" t="s">
        <v>178</v>
      </c>
      <c r="C60" t="s">
        <v>179</v>
      </c>
      <c r="D60" s="1">
        <v>0.27</v>
      </c>
    </row>
    <row r="61" spans="1:6" x14ac:dyDescent="0.35">
      <c r="A61" t="s">
        <v>170</v>
      </c>
      <c r="B61" t="s">
        <v>180</v>
      </c>
      <c r="C61" t="s">
        <v>181</v>
      </c>
      <c r="D61" s="1">
        <v>0.55000000000000004</v>
      </c>
    </row>
    <row r="62" spans="1:6" x14ac:dyDescent="0.35">
      <c r="A62" t="s">
        <v>182</v>
      </c>
      <c r="B62" t="s">
        <v>183</v>
      </c>
      <c r="C62" t="s">
        <v>184</v>
      </c>
      <c r="D62" s="1">
        <v>0.13</v>
      </c>
      <c r="E62">
        <v>-6</v>
      </c>
      <c r="F62" t="s">
        <v>185</v>
      </c>
    </row>
    <row r="63" spans="1:6" x14ac:dyDescent="0.35">
      <c r="A63" t="s">
        <v>186</v>
      </c>
      <c r="B63" t="s">
        <v>187</v>
      </c>
      <c r="C63" t="s">
        <v>188</v>
      </c>
      <c r="D63" s="1">
        <v>0.54</v>
      </c>
      <c r="E63">
        <v>-10</v>
      </c>
      <c r="F63" t="s">
        <v>189</v>
      </c>
    </row>
    <row r="64" spans="1:6" x14ac:dyDescent="0.35">
      <c r="A64" t="s">
        <v>190</v>
      </c>
      <c r="B64" t="s">
        <v>191</v>
      </c>
      <c r="C64" t="s">
        <v>192</v>
      </c>
      <c r="D64" s="1">
        <v>0.55000000000000004</v>
      </c>
      <c r="E64">
        <v>-13</v>
      </c>
      <c r="F64" t="s">
        <v>193</v>
      </c>
    </row>
    <row r="65" spans="1:6" x14ac:dyDescent="0.35">
      <c r="A65" t="s">
        <v>194</v>
      </c>
      <c r="B65" t="s">
        <v>195</v>
      </c>
      <c r="C65" t="s">
        <v>196</v>
      </c>
      <c r="D65" s="1">
        <v>0.49</v>
      </c>
      <c r="E65">
        <v>-69</v>
      </c>
      <c r="F65" t="s">
        <v>197</v>
      </c>
    </row>
    <row r="66" spans="1:6" x14ac:dyDescent="0.35">
      <c r="A66" t="s">
        <v>198</v>
      </c>
      <c r="B66" t="s">
        <v>199</v>
      </c>
      <c r="C66" t="s">
        <v>200</v>
      </c>
      <c r="D66" s="1">
        <v>0.52</v>
      </c>
      <c r="E66">
        <v>-15</v>
      </c>
      <c r="F66" t="s">
        <v>201</v>
      </c>
    </row>
    <row r="67" spans="1:6" x14ac:dyDescent="0.35">
      <c r="A67" t="s">
        <v>202</v>
      </c>
      <c r="B67" t="s">
        <v>203</v>
      </c>
      <c r="C67" t="s">
        <v>204</v>
      </c>
      <c r="D67" s="1">
        <v>0.22</v>
      </c>
      <c r="E67">
        <v>-16</v>
      </c>
      <c r="F67" t="s">
        <v>205</v>
      </c>
    </row>
    <row r="68" spans="1:6" x14ac:dyDescent="0.35">
      <c r="A68" t="s">
        <v>206</v>
      </c>
      <c r="B68" t="s">
        <v>45</v>
      </c>
      <c r="C68" t="s">
        <v>207</v>
      </c>
      <c r="D68" s="1">
        <v>0.45</v>
      </c>
      <c r="E68">
        <v>-6</v>
      </c>
      <c r="F68" t="s">
        <v>208</v>
      </c>
    </row>
    <row r="69" spans="1:6" x14ac:dyDescent="0.35">
      <c r="A69" t="s">
        <v>209</v>
      </c>
      <c r="B69" t="s">
        <v>210</v>
      </c>
      <c r="C69" t="s">
        <v>144</v>
      </c>
      <c r="D69" s="1">
        <v>0.5</v>
      </c>
      <c r="E69">
        <v>-7</v>
      </c>
      <c r="F69" t="s">
        <v>211</v>
      </c>
    </row>
    <row r="70" spans="1:6" x14ac:dyDescent="0.35">
      <c r="A70" t="s">
        <v>212</v>
      </c>
      <c r="B70" t="s">
        <v>213</v>
      </c>
      <c r="C70" t="s">
        <v>214</v>
      </c>
      <c r="D70" s="1">
        <v>0.39</v>
      </c>
      <c r="E70">
        <v>-5</v>
      </c>
      <c r="F70" t="s">
        <v>189</v>
      </c>
    </row>
    <row r="71" spans="1:6" x14ac:dyDescent="0.35">
      <c r="A71" t="s">
        <v>215</v>
      </c>
      <c r="B71" t="s">
        <v>104</v>
      </c>
      <c r="C71" t="s">
        <v>216</v>
      </c>
      <c r="D71" s="1">
        <v>0.45</v>
      </c>
      <c r="E71">
        <v>-17</v>
      </c>
      <c r="F71" t="s">
        <v>217</v>
      </c>
    </row>
    <row r="72" spans="1:6" x14ac:dyDescent="0.35">
      <c r="A72" t="s">
        <v>218</v>
      </c>
      <c r="B72" t="s">
        <v>219</v>
      </c>
      <c r="C72" t="s">
        <v>220</v>
      </c>
      <c r="D72" s="1">
        <v>0.28999999999999998</v>
      </c>
      <c r="E72">
        <v>-5</v>
      </c>
      <c r="F72" t="s">
        <v>189</v>
      </c>
    </row>
    <row r="73" spans="1:6" x14ac:dyDescent="0.35">
      <c r="A73" t="s">
        <v>221</v>
      </c>
      <c r="B73" t="s">
        <v>222</v>
      </c>
      <c r="C73" t="s">
        <v>223</v>
      </c>
      <c r="D73" s="1">
        <v>0.43</v>
      </c>
      <c r="E73">
        <v>-6</v>
      </c>
      <c r="F73" t="s">
        <v>211</v>
      </c>
    </row>
    <row r="74" spans="1:6" x14ac:dyDescent="0.35">
      <c r="A74" t="s">
        <v>224</v>
      </c>
      <c r="B74" t="s">
        <v>225</v>
      </c>
      <c r="C74" t="s">
        <v>226</v>
      </c>
      <c r="D74" s="1">
        <v>0.43</v>
      </c>
      <c r="E74">
        <v>-5</v>
      </c>
      <c r="F74" t="s">
        <v>189</v>
      </c>
    </row>
    <row r="75" spans="1:6" x14ac:dyDescent="0.35">
      <c r="A75" t="s">
        <v>227</v>
      </c>
      <c r="B75" t="s">
        <v>228</v>
      </c>
      <c r="C75" t="s">
        <v>207</v>
      </c>
      <c r="D75" s="1">
        <v>0.47</v>
      </c>
      <c r="E75">
        <v>-6</v>
      </c>
      <c r="F75" t="s">
        <v>208</v>
      </c>
    </row>
    <row r="76" spans="1:6" x14ac:dyDescent="0.35">
      <c r="A76" t="s">
        <v>229</v>
      </c>
      <c r="B76" t="s">
        <v>230</v>
      </c>
      <c r="C76" t="s">
        <v>231</v>
      </c>
      <c r="D76" s="1">
        <v>0.47</v>
      </c>
      <c r="E76">
        <v>-7</v>
      </c>
      <c r="F76" t="s">
        <v>193</v>
      </c>
    </row>
    <row r="77" spans="1:6" x14ac:dyDescent="0.35">
      <c r="A77" t="s">
        <v>232</v>
      </c>
      <c r="B77" t="s">
        <v>233</v>
      </c>
      <c r="C77" t="s">
        <v>234</v>
      </c>
      <c r="D77" s="1">
        <v>0.47</v>
      </c>
    </row>
    <row r="78" spans="1:6" x14ac:dyDescent="0.35">
      <c r="A78" t="s">
        <v>235</v>
      </c>
      <c r="B78" t="s">
        <v>236</v>
      </c>
      <c r="C78" t="s">
        <v>152</v>
      </c>
      <c r="D78" s="1">
        <v>0.43</v>
      </c>
    </row>
    <row r="79" spans="1:6" x14ac:dyDescent="0.35">
      <c r="A79" t="s">
        <v>237</v>
      </c>
      <c r="B79" t="s">
        <v>238</v>
      </c>
      <c r="C79" t="s">
        <v>239</v>
      </c>
      <c r="D79" s="1">
        <v>0.04</v>
      </c>
    </row>
    <row r="80" spans="1:6" x14ac:dyDescent="0.35">
      <c r="A80" t="s">
        <v>240</v>
      </c>
      <c r="B80" t="s">
        <v>241</v>
      </c>
      <c r="C80" t="s">
        <v>242</v>
      </c>
      <c r="D80" s="1">
        <v>0.49</v>
      </c>
    </row>
    <row r="81" spans="1:6" x14ac:dyDescent="0.35">
      <c r="A81" t="s">
        <v>243</v>
      </c>
      <c r="B81" t="s">
        <v>244</v>
      </c>
      <c r="C81" t="s">
        <v>15</v>
      </c>
      <c r="D81" s="1">
        <v>0.46</v>
      </c>
      <c r="E81">
        <v>-1</v>
      </c>
      <c r="F81" t="s">
        <v>189</v>
      </c>
    </row>
    <row r="82" spans="1:6" x14ac:dyDescent="0.35">
      <c r="A82" t="s">
        <v>245</v>
      </c>
      <c r="B82" t="s">
        <v>246</v>
      </c>
      <c r="C82" t="s">
        <v>247</v>
      </c>
      <c r="D82" s="1">
        <v>0.49</v>
      </c>
      <c r="E82">
        <v>-1</v>
      </c>
      <c r="F82" t="s">
        <v>59</v>
      </c>
    </row>
    <row r="83" spans="1:6" x14ac:dyDescent="0.35">
      <c r="A83" t="s">
        <v>248</v>
      </c>
      <c r="B83" t="s">
        <v>249</v>
      </c>
      <c r="C83" t="s">
        <v>250</v>
      </c>
      <c r="D83" s="1">
        <v>0.36</v>
      </c>
    </row>
    <row r="84" spans="1:6" x14ac:dyDescent="0.35">
      <c r="A84" t="s">
        <v>251</v>
      </c>
      <c r="B84" t="s">
        <v>252</v>
      </c>
      <c r="C84" t="s">
        <v>162</v>
      </c>
      <c r="D84" s="1">
        <v>0.02</v>
      </c>
    </row>
    <row r="85" spans="1:6" x14ac:dyDescent="0.35">
      <c r="A85" t="s">
        <v>253</v>
      </c>
      <c r="B85" t="s">
        <v>254</v>
      </c>
      <c r="C85" t="s">
        <v>91</v>
      </c>
      <c r="D85" s="1">
        <v>0.49</v>
      </c>
      <c r="E85">
        <v>-1</v>
      </c>
      <c r="F85" t="s">
        <v>29</v>
      </c>
    </row>
    <row r="86" spans="1:6" x14ac:dyDescent="0.35">
      <c r="A86" t="s">
        <v>137</v>
      </c>
      <c r="B86" t="s">
        <v>138</v>
      </c>
      <c r="C86" t="s">
        <v>139</v>
      </c>
      <c r="D86" s="1">
        <v>0.42</v>
      </c>
    </row>
    <row r="87" spans="1:6" x14ac:dyDescent="0.35">
      <c r="A87" t="s">
        <v>154</v>
      </c>
      <c r="B87" t="s">
        <v>255</v>
      </c>
      <c r="C87" t="s">
        <v>222</v>
      </c>
      <c r="D87" s="1">
        <v>0.49</v>
      </c>
    </row>
    <row r="88" spans="1:6" x14ac:dyDescent="0.35">
      <c r="A88" t="s">
        <v>256</v>
      </c>
      <c r="B88" t="s">
        <v>257</v>
      </c>
      <c r="C88" t="s">
        <v>162</v>
      </c>
      <c r="D88" s="1">
        <v>0.14000000000000001</v>
      </c>
    </row>
    <row r="89" spans="1:6" x14ac:dyDescent="0.35">
      <c r="A89" t="s">
        <v>258</v>
      </c>
      <c r="B89" t="s">
        <v>259</v>
      </c>
      <c r="C89" t="s">
        <v>260</v>
      </c>
      <c r="D89" s="1">
        <v>0.49</v>
      </c>
    </row>
    <row r="90" spans="1:6" x14ac:dyDescent="0.35">
      <c r="A90" t="s">
        <v>261</v>
      </c>
      <c r="B90" t="s">
        <v>43</v>
      </c>
      <c r="C90" t="s">
        <v>172</v>
      </c>
      <c r="D90" s="1">
        <v>0.11</v>
      </c>
    </row>
    <row r="91" spans="1:6" x14ac:dyDescent="0.35">
      <c r="A91" t="s">
        <v>175</v>
      </c>
      <c r="B91" t="s">
        <v>262</v>
      </c>
      <c r="C91" t="s">
        <v>263</v>
      </c>
      <c r="D91" s="1">
        <v>0.49</v>
      </c>
    </row>
    <row r="92" spans="1:6" x14ac:dyDescent="0.35">
      <c r="A92" t="s">
        <v>264</v>
      </c>
      <c r="B92" t="s">
        <v>265</v>
      </c>
      <c r="C92" t="s">
        <v>162</v>
      </c>
      <c r="D92" s="1">
        <v>0.14000000000000001</v>
      </c>
    </row>
    <row r="93" spans="1:6" x14ac:dyDescent="0.35">
      <c r="A93" t="s">
        <v>266</v>
      </c>
      <c r="B93" t="s">
        <v>267</v>
      </c>
      <c r="C93" t="s">
        <v>268</v>
      </c>
      <c r="D93" s="1">
        <v>0.43</v>
      </c>
    </row>
    <row r="94" spans="1:6" x14ac:dyDescent="0.35">
      <c r="A94" t="s">
        <v>269</v>
      </c>
      <c r="B94" t="s">
        <v>270</v>
      </c>
      <c r="C94" t="s">
        <v>271</v>
      </c>
      <c r="D94" s="1">
        <v>0.5</v>
      </c>
    </row>
    <row r="95" spans="1:6" x14ac:dyDescent="0.35">
      <c r="A95" t="s">
        <v>272</v>
      </c>
      <c r="B95" t="s">
        <v>273</v>
      </c>
      <c r="C95" t="s">
        <v>184</v>
      </c>
      <c r="D95" s="1">
        <v>0.48</v>
      </c>
    </row>
    <row r="96" spans="1:6" x14ac:dyDescent="0.35">
      <c r="A96" t="s">
        <v>274</v>
      </c>
      <c r="B96" t="s">
        <v>275</v>
      </c>
      <c r="C96" t="s">
        <v>276</v>
      </c>
      <c r="D96" s="1">
        <v>0.48</v>
      </c>
    </row>
    <row r="97" spans="1:6" x14ac:dyDescent="0.35">
      <c r="A97" t="s">
        <v>277</v>
      </c>
      <c r="B97" t="s">
        <v>226</v>
      </c>
      <c r="C97" t="s">
        <v>162</v>
      </c>
      <c r="D97" s="1">
        <v>0.47</v>
      </c>
    </row>
    <row r="98" spans="1:6" x14ac:dyDescent="0.35">
      <c r="A98" t="s">
        <v>277</v>
      </c>
      <c r="B98" t="s">
        <v>226</v>
      </c>
      <c r="C98" t="s">
        <v>162</v>
      </c>
      <c r="D98" s="1">
        <v>0.47</v>
      </c>
    </row>
    <row r="99" spans="1:6" x14ac:dyDescent="0.35">
      <c r="A99" t="s">
        <v>278</v>
      </c>
      <c r="B99" t="s">
        <v>152</v>
      </c>
      <c r="C99" t="s">
        <v>279</v>
      </c>
      <c r="D99" s="1">
        <v>0.5</v>
      </c>
    </row>
    <row r="100" spans="1:6" x14ac:dyDescent="0.35">
      <c r="A100" t="s">
        <v>280</v>
      </c>
      <c r="B100" t="s">
        <v>281</v>
      </c>
      <c r="C100" t="s">
        <v>161</v>
      </c>
      <c r="D100" s="1">
        <v>0.08</v>
      </c>
    </row>
    <row r="101" spans="1:6" x14ac:dyDescent="0.35">
      <c r="A101" t="s">
        <v>282</v>
      </c>
      <c r="B101" t="s">
        <v>283</v>
      </c>
      <c r="C101" t="s">
        <v>167</v>
      </c>
      <c r="D101" s="1">
        <v>0.02</v>
      </c>
    </row>
    <row r="102" spans="1:6" x14ac:dyDescent="0.35">
      <c r="A102" t="s">
        <v>284</v>
      </c>
      <c r="B102" t="s">
        <v>285</v>
      </c>
      <c r="C102" t="s">
        <v>286</v>
      </c>
      <c r="D102" s="1">
        <v>0.49</v>
      </c>
    </row>
    <row r="103" spans="1:6" x14ac:dyDescent="0.35">
      <c r="A103" t="s">
        <v>287</v>
      </c>
      <c r="B103" t="s">
        <v>288</v>
      </c>
      <c r="C103" t="s">
        <v>67</v>
      </c>
      <c r="D103" s="1">
        <v>0.04</v>
      </c>
    </row>
    <row r="104" spans="1:6" x14ac:dyDescent="0.35">
      <c r="A104" t="s">
        <v>289</v>
      </c>
      <c r="B104" t="s">
        <v>290</v>
      </c>
      <c r="C104" t="s">
        <v>291</v>
      </c>
      <c r="D104" s="1">
        <v>0.49</v>
      </c>
    </row>
    <row r="105" spans="1:6" x14ac:dyDescent="0.35">
      <c r="A105" t="s">
        <v>292</v>
      </c>
      <c r="B105" t="s">
        <v>293</v>
      </c>
      <c r="C105" t="s">
        <v>294</v>
      </c>
      <c r="D105" s="1">
        <v>0.42</v>
      </c>
    </row>
    <row r="106" spans="1:6" x14ac:dyDescent="0.35">
      <c r="A106" t="s">
        <v>295</v>
      </c>
      <c r="B106" t="s">
        <v>296</v>
      </c>
      <c r="C106" t="s">
        <v>297</v>
      </c>
      <c r="D106" s="1">
        <v>0.21</v>
      </c>
      <c r="E106">
        <v>-1</v>
      </c>
      <c r="F106" t="s">
        <v>59</v>
      </c>
    </row>
    <row r="107" spans="1:6" x14ac:dyDescent="0.35">
      <c r="A107" t="s">
        <v>298</v>
      </c>
      <c r="B107" t="s">
        <v>299</v>
      </c>
      <c r="C107" t="s">
        <v>300</v>
      </c>
      <c r="D107" s="1">
        <v>0.41</v>
      </c>
    </row>
    <row r="108" spans="1:6" x14ac:dyDescent="0.35">
      <c r="A108" t="s">
        <v>301</v>
      </c>
      <c r="B108" t="s">
        <v>302</v>
      </c>
      <c r="C108" t="s">
        <v>303</v>
      </c>
      <c r="D108" s="1">
        <v>0.01</v>
      </c>
    </row>
    <row r="109" spans="1:6" x14ac:dyDescent="0.35">
      <c r="A109" t="s">
        <v>304</v>
      </c>
      <c r="B109" t="s">
        <v>305</v>
      </c>
      <c r="C109" t="s">
        <v>306</v>
      </c>
      <c r="D109" s="1">
        <v>0.24</v>
      </c>
    </row>
    <row r="110" spans="1:6" x14ac:dyDescent="0.35">
      <c r="A110" t="s">
        <v>307</v>
      </c>
      <c r="B110" t="s">
        <v>308</v>
      </c>
      <c r="C110" t="s">
        <v>309</v>
      </c>
      <c r="D110" s="1">
        <v>0.34</v>
      </c>
    </row>
    <row r="111" spans="1:6" x14ac:dyDescent="0.35">
      <c r="A111" t="s">
        <v>310</v>
      </c>
      <c r="B111" t="s">
        <v>146</v>
      </c>
      <c r="C111" t="s">
        <v>311</v>
      </c>
      <c r="D111" s="1">
        <v>0.34</v>
      </c>
    </row>
    <row r="112" spans="1:6" x14ac:dyDescent="0.35">
      <c r="A112" t="s">
        <v>312</v>
      </c>
      <c r="B112" t="s">
        <v>313</v>
      </c>
      <c r="C112" t="s">
        <v>162</v>
      </c>
      <c r="D112" s="1">
        <v>0.02</v>
      </c>
    </row>
    <row r="113" spans="1:6" x14ac:dyDescent="0.35">
      <c r="A113" t="s">
        <v>314</v>
      </c>
      <c r="B113" t="s">
        <v>315</v>
      </c>
      <c r="C113" t="s">
        <v>239</v>
      </c>
      <c r="D113" s="1">
        <v>0.02</v>
      </c>
    </row>
    <row r="114" spans="1:6" x14ac:dyDescent="0.35">
      <c r="A114" t="s">
        <v>316</v>
      </c>
      <c r="B114" t="s">
        <v>155</v>
      </c>
      <c r="C114" t="s">
        <v>317</v>
      </c>
      <c r="D114" s="1">
        <v>0.64</v>
      </c>
    </row>
    <row r="115" spans="1:6" x14ac:dyDescent="0.35">
      <c r="A115" t="s">
        <v>318</v>
      </c>
      <c r="B115" t="s">
        <v>242</v>
      </c>
      <c r="C115" t="s">
        <v>172</v>
      </c>
      <c r="D115" s="1">
        <v>0.5</v>
      </c>
      <c r="E115">
        <v>-1</v>
      </c>
      <c r="F115" t="s">
        <v>319</v>
      </c>
    </row>
    <row r="116" spans="1:6" x14ac:dyDescent="0.35">
      <c r="A116" t="s">
        <v>320</v>
      </c>
      <c r="B116" t="s">
        <v>321</v>
      </c>
      <c r="C116" t="s">
        <v>322</v>
      </c>
      <c r="D116" s="1">
        <v>0.47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FDFD4-3C90-4800-A162-08EC97C63347}">
  <dimension ref="A1:K116"/>
  <sheetViews>
    <sheetView workbookViewId="0">
      <selection activeCell="H21" sqref="H21"/>
    </sheetView>
  </sheetViews>
  <sheetFormatPr defaultRowHeight="14.5" x14ac:dyDescent="0.35"/>
  <cols>
    <col min="1" max="1" width="31.26953125" customWidth="1"/>
    <col min="2" max="2" width="21.1796875" style="4" customWidth="1"/>
    <col min="3" max="3" width="18.26953125" style="4" customWidth="1"/>
    <col min="4" max="4" width="10.08984375" customWidth="1"/>
    <col min="5" max="5" width="8.7265625" style="4"/>
    <col min="6" max="6" width="14.7265625" style="3" customWidth="1"/>
    <col min="7" max="7" width="16.90625" customWidth="1"/>
    <col min="9" max="9" width="10.54296875" customWidth="1"/>
    <col min="10" max="10" width="10.36328125" customWidth="1"/>
  </cols>
  <sheetData>
    <row r="1" spans="1:11" x14ac:dyDescent="0.35">
      <c r="A1" t="s">
        <v>0</v>
      </c>
      <c r="B1" s="4" t="s">
        <v>1</v>
      </c>
      <c r="C1" s="4" t="s">
        <v>2</v>
      </c>
      <c r="D1" t="s">
        <v>3</v>
      </c>
      <c r="E1" s="4" t="s">
        <v>4</v>
      </c>
      <c r="F1" s="3" t="s">
        <v>323</v>
      </c>
      <c r="G1" t="s">
        <v>324</v>
      </c>
      <c r="H1" t="s">
        <v>325</v>
      </c>
      <c r="I1" t="s">
        <v>326</v>
      </c>
      <c r="J1" t="s">
        <v>327</v>
      </c>
    </row>
    <row r="2" spans="1:11" x14ac:dyDescent="0.35">
      <c r="A2" t="s">
        <v>6</v>
      </c>
      <c r="B2" s="4">
        <v>950</v>
      </c>
      <c r="C2" s="4">
        <v>1525</v>
      </c>
      <c r="D2" s="1">
        <v>0.38</v>
      </c>
      <c r="E2" s="4">
        <v>2</v>
      </c>
      <c r="F2" s="3">
        <v>4.5</v>
      </c>
      <c r="G2" s="3">
        <f>C2-B2</f>
        <v>575</v>
      </c>
      <c r="H2" t="str">
        <f>IF(F2&gt;=4.5,"Excellent",IF(F2&gt;=3,"Average","below"))</f>
        <v>Excellent</v>
      </c>
      <c r="I2" t="str">
        <f>_xlfn.IFS(D2&gt;40%,"High above",D2&gt;=20%,"Medium",D2&lt;20%,"Low below")</f>
        <v>Medium</v>
      </c>
      <c r="J2" t="str">
        <f>IF(B2&gt;=2000,"Expensive",IF(B2&gt;=1000,"Average","Cheap"))</f>
        <v>Cheap</v>
      </c>
    </row>
    <row r="3" spans="1:11" x14ac:dyDescent="0.35">
      <c r="A3" t="s">
        <v>10</v>
      </c>
      <c r="B3" s="4">
        <v>527</v>
      </c>
      <c r="C3" s="4">
        <v>999</v>
      </c>
      <c r="D3" s="1">
        <v>0.47</v>
      </c>
      <c r="E3" s="4">
        <v>14</v>
      </c>
      <c r="F3" s="3">
        <v>4.0999999999999996</v>
      </c>
      <c r="G3" s="3">
        <f t="shared" ref="G3:G66" si="0">C3-B3</f>
        <v>472</v>
      </c>
      <c r="H3" t="str">
        <f t="shared" ref="H3:H66" si="1">IF(F3&gt;=4.5,"Excellent",IF(F3&gt;=3,"Average","below"))</f>
        <v>Average</v>
      </c>
      <c r="I3" t="str">
        <f t="shared" ref="I3:I66" si="2">_xlfn.IFS(D3&gt;40%,"High above",D3&gt;=20%,"Medium",D3&lt;20%,"Low below")</f>
        <v>High above</v>
      </c>
      <c r="J3" t="str">
        <f t="shared" ref="J3:J66" si="3">IF(B3&gt;=2000,"Expensive",IF(B3&gt;=1000,"Average","Cheap"))</f>
        <v>Cheap</v>
      </c>
    </row>
    <row r="4" spans="1:11" x14ac:dyDescent="0.35">
      <c r="A4" t="s">
        <v>14</v>
      </c>
      <c r="B4" s="4">
        <v>2199</v>
      </c>
      <c r="C4" s="4">
        <v>2923</v>
      </c>
      <c r="D4" s="1">
        <v>0.25</v>
      </c>
      <c r="E4" s="4">
        <v>24</v>
      </c>
      <c r="F4" s="3">
        <v>4.5999999999999996</v>
      </c>
      <c r="G4" s="3">
        <f t="shared" si="0"/>
        <v>724</v>
      </c>
      <c r="H4" t="str">
        <f t="shared" si="1"/>
        <v>Excellent</v>
      </c>
      <c r="I4" t="str">
        <f t="shared" si="2"/>
        <v>Medium</v>
      </c>
      <c r="J4" t="str">
        <f t="shared" si="3"/>
        <v>Expensive</v>
      </c>
    </row>
    <row r="5" spans="1:11" x14ac:dyDescent="0.35">
      <c r="A5" t="s">
        <v>18</v>
      </c>
      <c r="B5" s="4">
        <v>1580</v>
      </c>
      <c r="C5" s="4">
        <v>2499</v>
      </c>
      <c r="D5" s="1">
        <v>0.37</v>
      </c>
      <c r="E5" s="4">
        <v>7</v>
      </c>
      <c r="F5" s="3">
        <v>4.7</v>
      </c>
      <c r="G5" s="3">
        <f t="shared" si="0"/>
        <v>919</v>
      </c>
      <c r="H5" t="str">
        <f t="shared" si="1"/>
        <v>Excellent</v>
      </c>
      <c r="I5" t="str">
        <f t="shared" si="2"/>
        <v>Medium</v>
      </c>
      <c r="J5" t="str">
        <f t="shared" si="3"/>
        <v>Average</v>
      </c>
      <c r="K5" s="5"/>
    </row>
    <row r="6" spans="1:11" x14ac:dyDescent="0.35">
      <c r="A6" t="s">
        <v>22</v>
      </c>
      <c r="B6" s="4">
        <v>1740</v>
      </c>
      <c r="C6" s="4">
        <v>2356</v>
      </c>
      <c r="D6" s="1">
        <v>0.26</v>
      </c>
      <c r="E6" s="4">
        <v>5</v>
      </c>
      <c r="F6" s="3">
        <v>4.8</v>
      </c>
      <c r="G6" s="3">
        <f t="shared" si="0"/>
        <v>616</v>
      </c>
      <c r="H6" t="str">
        <f t="shared" si="1"/>
        <v>Excellent</v>
      </c>
      <c r="I6" t="str">
        <f t="shared" si="2"/>
        <v>Medium</v>
      </c>
      <c r="J6" t="str">
        <f t="shared" si="3"/>
        <v>Average</v>
      </c>
      <c r="K6" s="5"/>
    </row>
    <row r="7" spans="1:11" x14ac:dyDescent="0.35">
      <c r="A7" t="s">
        <v>26</v>
      </c>
      <c r="B7" s="4">
        <v>2999</v>
      </c>
      <c r="C7" s="4">
        <v>3290</v>
      </c>
      <c r="D7" s="1">
        <v>0.09</v>
      </c>
      <c r="E7" s="4">
        <v>15</v>
      </c>
      <c r="F7" s="3">
        <v>4</v>
      </c>
      <c r="G7" s="3">
        <f t="shared" si="0"/>
        <v>291</v>
      </c>
      <c r="H7" t="str">
        <f t="shared" si="1"/>
        <v>Average</v>
      </c>
      <c r="I7" t="str">
        <f t="shared" si="2"/>
        <v>Low below</v>
      </c>
      <c r="J7" t="str">
        <f t="shared" si="3"/>
        <v>Expensive</v>
      </c>
    </row>
    <row r="8" spans="1:11" x14ac:dyDescent="0.35">
      <c r="A8" t="s">
        <v>30</v>
      </c>
      <c r="B8" s="4">
        <v>2319</v>
      </c>
      <c r="C8" s="4">
        <v>3032</v>
      </c>
      <c r="D8" s="1">
        <v>0.24</v>
      </c>
      <c r="E8" s="4">
        <v>55</v>
      </c>
      <c r="F8" s="3">
        <v>4.5999999999999996</v>
      </c>
      <c r="G8" s="3">
        <f t="shared" si="0"/>
        <v>713</v>
      </c>
      <c r="H8" t="str">
        <f t="shared" si="1"/>
        <v>Excellent</v>
      </c>
      <c r="I8" t="str">
        <f t="shared" si="2"/>
        <v>Medium</v>
      </c>
      <c r="J8" t="str">
        <f t="shared" si="3"/>
        <v>Expensive</v>
      </c>
      <c r="K8" s="4"/>
    </row>
    <row r="9" spans="1:11" x14ac:dyDescent="0.35">
      <c r="A9" t="s">
        <v>33</v>
      </c>
      <c r="B9" s="4">
        <v>988</v>
      </c>
      <c r="C9" s="4">
        <v>1580</v>
      </c>
      <c r="D9" s="1">
        <v>0.37</v>
      </c>
      <c r="E9" s="4">
        <v>2</v>
      </c>
      <c r="F9" s="3">
        <v>4</v>
      </c>
      <c r="G9" s="3">
        <f t="shared" si="0"/>
        <v>592</v>
      </c>
      <c r="H9" t="str">
        <f t="shared" si="1"/>
        <v>Average</v>
      </c>
      <c r="I9" t="str">
        <f t="shared" si="2"/>
        <v>Medium</v>
      </c>
      <c r="J9" t="str">
        <f t="shared" si="3"/>
        <v>Cheap</v>
      </c>
      <c r="K9" s="4"/>
    </row>
    <row r="10" spans="1:11" x14ac:dyDescent="0.35">
      <c r="A10" t="s">
        <v>35</v>
      </c>
      <c r="B10" s="4">
        <v>1274</v>
      </c>
      <c r="C10" s="4">
        <v>2800</v>
      </c>
      <c r="D10" s="1">
        <v>0.55000000000000004</v>
      </c>
      <c r="E10" s="4">
        <v>5</v>
      </c>
      <c r="F10" s="3">
        <v>4.8</v>
      </c>
      <c r="G10" s="3">
        <f t="shared" si="0"/>
        <v>1526</v>
      </c>
      <c r="H10" t="str">
        <f t="shared" si="1"/>
        <v>Excellent</v>
      </c>
      <c r="I10" t="str">
        <f t="shared" si="2"/>
        <v>High above</v>
      </c>
      <c r="J10" t="str">
        <f t="shared" si="3"/>
        <v>Average</v>
      </c>
    </row>
    <row r="11" spans="1:11" x14ac:dyDescent="0.35">
      <c r="A11" t="s">
        <v>38</v>
      </c>
      <c r="B11" s="4">
        <v>1600</v>
      </c>
      <c r="C11" s="4">
        <v>2929</v>
      </c>
      <c r="D11" s="1">
        <v>0.45</v>
      </c>
      <c r="E11" s="4">
        <v>5</v>
      </c>
      <c r="F11" s="3">
        <v>3.8</v>
      </c>
      <c r="G11" s="3">
        <f t="shared" si="0"/>
        <v>1329</v>
      </c>
      <c r="H11" t="str">
        <f t="shared" si="1"/>
        <v>Average</v>
      </c>
      <c r="I11" t="str">
        <f t="shared" si="2"/>
        <v>High above</v>
      </c>
      <c r="J11" t="str">
        <f t="shared" si="3"/>
        <v>Average</v>
      </c>
    </row>
    <row r="12" spans="1:11" x14ac:dyDescent="0.35">
      <c r="A12" t="s">
        <v>42</v>
      </c>
      <c r="B12" s="4">
        <v>799</v>
      </c>
      <c r="C12" s="4">
        <v>999</v>
      </c>
      <c r="D12" s="1">
        <v>0.2</v>
      </c>
      <c r="E12" s="4">
        <v>12</v>
      </c>
      <c r="F12" s="3">
        <v>4.0999999999999996</v>
      </c>
      <c r="G12" s="3">
        <f t="shared" si="0"/>
        <v>200</v>
      </c>
      <c r="H12" t="str">
        <f t="shared" si="1"/>
        <v>Average</v>
      </c>
      <c r="I12" t="str">
        <f t="shared" si="2"/>
        <v>Medium</v>
      </c>
      <c r="J12" t="str">
        <f t="shared" si="3"/>
        <v>Cheap</v>
      </c>
    </row>
    <row r="13" spans="1:11" x14ac:dyDescent="0.35">
      <c r="A13" t="s">
        <v>44</v>
      </c>
      <c r="B13" s="4">
        <v>990</v>
      </c>
      <c r="C13" s="4">
        <v>1500</v>
      </c>
      <c r="D13" s="1">
        <v>0.34</v>
      </c>
      <c r="E13" s="4">
        <v>39</v>
      </c>
      <c r="F13" s="3">
        <v>4.7</v>
      </c>
      <c r="G13" s="3">
        <f t="shared" si="0"/>
        <v>510</v>
      </c>
      <c r="H13" t="str">
        <f t="shared" si="1"/>
        <v>Excellent</v>
      </c>
      <c r="I13" t="str">
        <f t="shared" si="2"/>
        <v>Medium</v>
      </c>
      <c r="J13" t="str">
        <f t="shared" si="3"/>
        <v>Cheap</v>
      </c>
    </row>
    <row r="14" spans="1:11" x14ac:dyDescent="0.35">
      <c r="A14" t="s">
        <v>47</v>
      </c>
      <c r="B14" s="4">
        <v>552</v>
      </c>
      <c r="C14" s="4">
        <v>1035</v>
      </c>
      <c r="D14" s="1">
        <v>0.47</v>
      </c>
      <c r="E14" s="4">
        <v>12</v>
      </c>
      <c r="F14" s="3">
        <v>4.8</v>
      </c>
      <c r="G14" s="3">
        <f t="shared" si="0"/>
        <v>483</v>
      </c>
      <c r="H14" t="str">
        <f t="shared" si="1"/>
        <v>Excellent</v>
      </c>
      <c r="I14" t="str">
        <f t="shared" si="2"/>
        <v>High above</v>
      </c>
      <c r="J14" t="str">
        <f t="shared" si="3"/>
        <v>Cheap</v>
      </c>
    </row>
    <row r="15" spans="1:11" x14ac:dyDescent="0.35">
      <c r="A15" t="s">
        <v>50</v>
      </c>
      <c r="B15" s="4">
        <v>501</v>
      </c>
      <c r="C15" s="4">
        <v>860</v>
      </c>
      <c r="D15" s="1">
        <v>0.42</v>
      </c>
      <c r="E15" s="4">
        <v>6</v>
      </c>
      <c r="F15" s="3">
        <v>4.5</v>
      </c>
      <c r="G15" s="3">
        <f t="shared" si="0"/>
        <v>359</v>
      </c>
      <c r="H15" t="str">
        <f t="shared" si="1"/>
        <v>Excellent</v>
      </c>
      <c r="I15" t="str">
        <f t="shared" si="2"/>
        <v>High above</v>
      </c>
      <c r="J15" t="str">
        <f t="shared" si="3"/>
        <v>Cheap</v>
      </c>
    </row>
    <row r="16" spans="1:11" x14ac:dyDescent="0.35">
      <c r="A16" t="s">
        <v>53</v>
      </c>
      <c r="B16" s="4">
        <v>1680</v>
      </c>
      <c r="C16" s="4">
        <v>2499</v>
      </c>
      <c r="D16" s="1">
        <v>0.33</v>
      </c>
      <c r="E16" s="4">
        <v>9</v>
      </c>
      <c r="F16" s="3">
        <v>4.2</v>
      </c>
      <c r="G16" s="3">
        <f t="shared" si="0"/>
        <v>819</v>
      </c>
      <c r="H16" t="str">
        <f t="shared" si="1"/>
        <v>Average</v>
      </c>
      <c r="I16" t="str">
        <f t="shared" si="2"/>
        <v>Medium</v>
      </c>
      <c r="J16" t="str">
        <f t="shared" si="3"/>
        <v>Average</v>
      </c>
    </row>
    <row r="17" spans="1:10" x14ac:dyDescent="0.35">
      <c r="A17" t="s">
        <v>56</v>
      </c>
      <c r="B17" s="4">
        <v>332</v>
      </c>
      <c r="C17" s="4">
        <v>684</v>
      </c>
      <c r="D17" s="1">
        <v>0.51</v>
      </c>
      <c r="E17" s="4">
        <v>2</v>
      </c>
      <c r="F17" s="3">
        <v>5</v>
      </c>
      <c r="G17" s="3">
        <f t="shared" si="0"/>
        <v>352</v>
      </c>
      <c r="H17" t="str">
        <f t="shared" si="1"/>
        <v>Excellent</v>
      </c>
      <c r="I17" t="str">
        <f t="shared" si="2"/>
        <v>High above</v>
      </c>
      <c r="J17" t="str">
        <f t="shared" si="3"/>
        <v>Cheap</v>
      </c>
    </row>
    <row r="18" spans="1:10" x14ac:dyDescent="0.35">
      <c r="A18" t="s">
        <v>60</v>
      </c>
      <c r="B18" s="4">
        <v>195</v>
      </c>
      <c r="C18" s="4">
        <v>360</v>
      </c>
      <c r="D18" s="1">
        <v>0.46</v>
      </c>
      <c r="E18" s="4">
        <v>2</v>
      </c>
      <c r="F18" s="3">
        <v>5</v>
      </c>
      <c r="G18" s="3">
        <f t="shared" si="0"/>
        <v>165</v>
      </c>
      <c r="H18" t="str">
        <f t="shared" si="1"/>
        <v>Excellent</v>
      </c>
      <c r="I18" t="str">
        <f t="shared" si="2"/>
        <v>High above</v>
      </c>
      <c r="J18" t="str">
        <f t="shared" si="3"/>
        <v>Cheap</v>
      </c>
    </row>
    <row r="19" spans="1:10" x14ac:dyDescent="0.35">
      <c r="A19" t="s">
        <v>63</v>
      </c>
      <c r="B19" s="4">
        <v>2025</v>
      </c>
      <c r="C19" s="4">
        <v>3971</v>
      </c>
      <c r="D19" s="1">
        <v>0.49</v>
      </c>
      <c r="E19" s="4">
        <v>3</v>
      </c>
      <c r="F19" s="3">
        <v>5</v>
      </c>
      <c r="G19" s="3">
        <f t="shared" si="0"/>
        <v>1946</v>
      </c>
      <c r="H19" t="str">
        <f t="shared" si="1"/>
        <v>Excellent</v>
      </c>
      <c r="I19" t="str">
        <f t="shared" si="2"/>
        <v>High above</v>
      </c>
      <c r="J19" t="str">
        <f t="shared" si="3"/>
        <v>Expensive</v>
      </c>
    </row>
    <row r="20" spans="1:10" x14ac:dyDescent="0.35">
      <c r="A20" t="s">
        <v>66</v>
      </c>
      <c r="B20" s="4">
        <v>2999</v>
      </c>
      <c r="C20" s="4">
        <v>3699</v>
      </c>
      <c r="D20" s="1">
        <v>0.19</v>
      </c>
      <c r="E20" s="4">
        <v>5</v>
      </c>
      <c r="F20" s="3">
        <v>4.5999999999999996</v>
      </c>
      <c r="G20" s="3">
        <f t="shared" si="0"/>
        <v>700</v>
      </c>
      <c r="H20" t="str">
        <f t="shared" si="1"/>
        <v>Excellent</v>
      </c>
      <c r="I20" t="str">
        <f t="shared" si="2"/>
        <v>Low below</v>
      </c>
      <c r="J20" t="str">
        <f t="shared" si="3"/>
        <v>Expensive</v>
      </c>
    </row>
    <row r="21" spans="1:10" x14ac:dyDescent="0.35">
      <c r="A21" t="s">
        <v>68</v>
      </c>
      <c r="B21" s="4">
        <v>998</v>
      </c>
      <c r="C21" s="4">
        <v>1966</v>
      </c>
      <c r="D21" s="1">
        <v>0.49</v>
      </c>
      <c r="E21" s="4">
        <v>44</v>
      </c>
      <c r="F21" s="3">
        <v>4.5999999999999996</v>
      </c>
      <c r="G21" s="3">
        <f t="shared" si="0"/>
        <v>968</v>
      </c>
      <c r="H21" t="str">
        <f t="shared" si="1"/>
        <v>Excellent</v>
      </c>
      <c r="I21" t="str">
        <f t="shared" si="2"/>
        <v>High above</v>
      </c>
      <c r="J21" t="str">
        <f t="shared" si="3"/>
        <v>Cheap</v>
      </c>
    </row>
    <row r="22" spans="1:10" x14ac:dyDescent="0.35">
      <c r="A22" t="s">
        <v>71</v>
      </c>
      <c r="B22" s="4">
        <v>38</v>
      </c>
      <c r="C22" s="4">
        <v>80</v>
      </c>
      <c r="D22" s="1">
        <v>0.53</v>
      </c>
      <c r="E22" s="4">
        <v>13</v>
      </c>
      <c r="F22" s="3">
        <v>3.3</v>
      </c>
      <c r="G22" s="3">
        <f t="shared" si="0"/>
        <v>42</v>
      </c>
      <c r="H22" t="str">
        <f t="shared" si="1"/>
        <v>Average</v>
      </c>
      <c r="I22" t="str">
        <f t="shared" si="2"/>
        <v>High above</v>
      </c>
      <c r="J22" t="str">
        <f t="shared" si="3"/>
        <v>Cheap</v>
      </c>
    </row>
    <row r="23" spans="1:10" x14ac:dyDescent="0.35">
      <c r="A23" t="s">
        <v>75</v>
      </c>
      <c r="B23" s="4">
        <v>1860</v>
      </c>
      <c r="C23" s="4">
        <v>3220</v>
      </c>
      <c r="D23" s="1">
        <v>0.42</v>
      </c>
      <c r="E23" s="4">
        <v>0</v>
      </c>
      <c r="G23" s="3">
        <f t="shared" si="0"/>
        <v>1360</v>
      </c>
      <c r="H23" t="str">
        <f t="shared" si="1"/>
        <v>below</v>
      </c>
      <c r="I23" t="str">
        <f t="shared" si="2"/>
        <v>High above</v>
      </c>
      <c r="J23" t="str">
        <f t="shared" si="3"/>
        <v>Average</v>
      </c>
    </row>
    <row r="24" spans="1:10" x14ac:dyDescent="0.35">
      <c r="A24" t="s">
        <v>78</v>
      </c>
      <c r="B24" s="4">
        <v>880</v>
      </c>
      <c r="C24" s="4">
        <v>1350</v>
      </c>
      <c r="D24" s="1">
        <v>0.35</v>
      </c>
      <c r="E24" s="4">
        <v>6</v>
      </c>
      <c r="F24" s="3">
        <v>4</v>
      </c>
      <c r="G24" s="3">
        <f t="shared" si="0"/>
        <v>470</v>
      </c>
      <c r="H24" t="str">
        <f t="shared" si="1"/>
        <v>Average</v>
      </c>
      <c r="I24" t="str">
        <f t="shared" si="2"/>
        <v>Medium</v>
      </c>
      <c r="J24" t="str">
        <f t="shared" si="3"/>
        <v>Cheap</v>
      </c>
    </row>
    <row r="25" spans="1:10" x14ac:dyDescent="0.35">
      <c r="A25" t="s">
        <v>81</v>
      </c>
      <c r="B25" s="4">
        <v>1650</v>
      </c>
      <c r="C25" s="4">
        <v>2150</v>
      </c>
      <c r="D25" s="1">
        <v>0.23</v>
      </c>
      <c r="E25" s="4">
        <v>14</v>
      </c>
      <c r="F25" s="3">
        <v>4.4000000000000004</v>
      </c>
      <c r="G25" s="3">
        <f t="shared" si="0"/>
        <v>500</v>
      </c>
      <c r="H25" t="str">
        <f t="shared" si="1"/>
        <v>Average</v>
      </c>
      <c r="I25" t="str">
        <f t="shared" si="2"/>
        <v>Medium</v>
      </c>
      <c r="J25" t="str">
        <f t="shared" si="3"/>
        <v>Average</v>
      </c>
    </row>
    <row r="26" spans="1:10" x14ac:dyDescent="0.35">
      <c r="A26" t="s">
        <v>85</v>
      </c>
      <c r="B26" s="4">
        <v>2048</v>
      </c>
      <c r="C26" s="4">
        <v>4500</v>
      </c>
      <c r="D26" s="1">
        <v>0.54</v>
      </c>
      <c r="E26" s="4">
        <v>7</v>
      </c>
      <c r="F26" s="3">
        <v>4.3</v>
      </c>
      <c r="G26" s="3">
        <f t="shared" si="0"/>
        <v>2452</v>
      </c>
      <c r="H26" t="str">
        <f t="shared" si="1"/>
        <v>Average</v>
      </c>
      <c r="I26" t="str">
        <f t="shared" si="2"/>
        <v>High above</v>
      </c>
      <c r="J26" t="str">
        <f t="shared" si="3"/>
        <v>Expensive</v>
      </c>
    </row>
    <row r="27" spans="1:10" x14ac:dyDescent="0.35">
      <c r="A27" t="s">
        <v>89</v>
      </c>
      <c r="B27" s="4">
        <v>420</v>
      </c>
      <c r="C27" s="4">
        <v>647</v>
      </c>
      <c r="D27" s="1">
        <v>0.35</v>
      </c>
      <c r="E27" s="4">
        <v>49</v>
      </c>
      <c r="F27" s="3">
        <v>4.5999999999999996</v>
      </c>
      <c r="G27" s="3">
        <f t="shared" si="0"/>
        <v>227</v>
      </c>
      <c r="H27" t="str">
        <f t="shared" si="1"/>
        <v>Excellent</v>
      </c>
      <c r="I27" t="str">
        <f t="shared" si="2"/>
        <v>Medium</v>
      </c>
      <c r="J27" t="str">
        <f t="shared" si="3"/>
        <v>Cheap</v>
      </c>
    </row>
    <row r="28" spans="1:10" x14ac:dyDescent="0.35">
      <c r="A28" t="s">
        <v>92</v>
      </c>
      <c r="B28" s="4">
        <v>2880</v>
      </c>
      <c r="C28" s="4">
        <v>3520</v>
      </c>
      <c r="D28" s="1">
        <v>0.18</v>
      </c>
      <c r="E28" s="4">
        <v>12</v>
      </c>
      <c r="F28" s="3">
        <v>3.8</v>
      </c>
      <c r="G28" s="3">
        <f t="shared" si="0"/>
        <v>640</v>
      </c>
      <c r="H28" t="str">
        <f t="shared" si="1"/>
        <v>Average</v>
      </c>
      <c r="I28" t="str">
        <f t="shared" si="2"/>
        <v>Low below</v>
      </c>
      <c r="J28" t="str">
        <f t="shared" si="3"/>
        <v>Expensive</v>
      </c>
    </row>
    <row r="29" spans="1:10" x14ac:dyDescent="0.35">
      <c r="A29" t="s">
        <v>95</v>
      </c>
      <c r="B29" s="4">
        <v>1350</v>
      </c>
      <c r="C29" s="4">
        <v>1990</v>
      </c>
      <c r="D29" s="1">
        <v>0.32</v>
      </c>
      <c r="E29" s="4">
        <v>13</v>
      </c>
      <c r="F29" s="3">
        <v>3.8</v>
      </c>
      <c r="G29" s="3">
        <f t="shared" si="0"/>
        <v>640</v>
      </c>
      <c r="H29" t="str">
        <f t="shared" si="1"/>
        <v>Average</v>
      </c>
      <c r="I29" t="str">
        <f t="shared" si="2"/>
        <v>Medium</v>
      </c>
      <c r="J29" t="str">
        <f t="shared" si="3"/>
        <v>Average</v>
      </c>
    </row>
    <row r="30" spans="1:10" x14ac:dyDescent="0.35">
      <c r="A30" t="s">
        <v>97</v>
      </c>
      <c r="B30" s="4">
        <v>1758</v>
      </c>
      <c r="C30" s="4">
        <v>2499</v>
      </c>
      <c r="D30" s="1">
        <v>0.3</v>
      </c>
      <c r="E30" s="4">
        <v>20</v>
      </c>
      <c r="F30" s="3">
        <v>4.0999999999999996</v>
      </c>
      <c r="G30" s="3">
        <f t="shared" si="0"/>
        <v>741</v>
      </c>
      <c r="H30" t="str">
        <f t="shared" si="1"/>
        <v>Average</v>
      </c>
      <c r="I30" t="str">
        <f t="shared" si="2"/>
        <v>Medium</v>
      </c>
      <c r="J30" t="str">
        <f t="shared" si="3"/>
        <v>Average</v>
      </c>
    </row>
    <row r="31" spans="1:10" x14ac:dyDescent="0.35">
      <c r="A31" t="s">
        <v>99</v>
      </c>
      <c r="B31" s="4">
        <v>2200</v>
      </c>
      <c r="C31" s="4">
        <v>4080</v>
      </c>
      <c r="D31" s="1">
        <v>0.46</v>
      </c>
      <c r="E31" s="4">
        <v>0</v>
      </c>
      <c r="G31" s="3">
        <f t="shared" si="0"/>
        <v>1880</v>
      </c>
      <c r="H31" t="str">
        <f t="shared" si="1"/>
        <v>below</v>
      </c>
      <c r="I31" t="str">
        <f t="shared" si="2"/>
        <v>High above</v>
      </c>
      <c r="J31" t="str">
        <f t="shared" si="3"/>
        <v>Expensive</v>
      </c>
    </row>
    <row r="32" spans="1:10" x14ac:dyDescent="0.35">
      <c r="A32" t="s">
        <v>102</v>
      </c>
      <c r="B32" s="4">
        <v>185</v>
      </c>
      <c r="C32" s="4">
        <v>382</v>
      </c>
      <c r="D32" s="1">
        <v>0.52</v>
      </c>
      <c r="E32" s="4">
        <v>9</v>
      </c>
      <c r="F32" s="3">
        <v>4.3</v>
      </c>
      <c r="G32" s="3">
        <f t="shared" si="0"/>
        <v>197</v>
      </c>
      <c r="H32" t="str">
        <f t="shared" si="1"/>
        <v>Average</v>
      </c>
      <c r="I32" t="str">
        <f t="shared" si="2"/>
        <v>High above</v>
      </c>
      <c r="J32" t="str">
        <f t="shared" si="3"/>
        <v>Cheap</v>
      </c>
    </row>
    <row r="33" spans="1:10" x14ac:dyDescent="0.35">
      <c r="A33" t="s">
        <v>105</v>
      </c>
      <c r="B33" s="4">
        <v>980</v>
      </c>
      <c r="C33" s="4">
        <v>1490</v>
      </c>
      <c r="D33" s="1">
        <v>0.34</v>
      </c>
      <c r="E33" s="4">
        <v>12</v>
      </c>
      <c r="F33" s="3">
        <v>4.7</v>
      </c>
      <c r="G33" s="3">
        <f t="shared" si="0"/>
        <v>510</v>
      </c>
      <c r="H33" t="str">
        <f t="shared" si="1"/>
        <v>Excellent</v>
      </c>
      <c r="I33" t="str">
        <f t="shared" si="2"/>
        <v>Medium</v>
      </c>
      <c r="J33" t="str">
        <f t="shared" si="3"/>
        <v>Cheap</v>
      </c>
    </row>
    <row r="34" spans="1:10" x14ac:dyDescent="0.35">
      <c r="A34" t="s">
        <v>108</v>
      </c>
      <c r="B34" s="4">
        <v>1820</v>
      </c>
      <c r="C34" s="4">
        <v>3490</v>
      </c>
      <c r="D34" s="1">
        <v>0.48</v>
      </c>
      <c r="E34" s="4">
        <v>9</v>
      </c>
      <c r="F34" s="3">
        <v>4.3</v>
      </c>
      <c r="G34" s="3">
        <f t="shared" si="0"/>
        <v>1670</v>
      </c>
      <c r="H34" t="str">
        <f t="shared" si="1"/>
        <v>Average</v>
      </c>
      <c r="I34" t="str">
        <f t="shared" si="2"/>
        <v>High above</v>
      </c>
      <c r="J34" t="str">
        <f t="shared" si="3"/>
        <v>Average</v>
      </c>
    </row>
    <row r="35" spans="1:10" x14ac:dyDescent="0.35">
      <c r="A35" t="s">
        <v>111</v>
      </c>
      <c r="B35" s="4">
        <v>1940</v>
      </c>
      <c r="C35" s="4">
        <v>2650</v>
      </c>
      <c r="D35" s="1">
        <v>0.27</v>
      </c>
      <c r="E35" s="4">
        <v>20</v>
      </c>
      <c r="F35" s="3">
        <v>4.7</v>
      </c>
      <c r="G35" s="3">
        <f t="shared" si="0"/>
        <v>710</v>
      </c>
      <c r="H35" t="str">
        <f t="shared" si="1"/>
        <v>Excellent</v>
      </c>
      <c r="I35" t="str">
        <f t="shared" si="2"/>
        <v>Medium</v>
      </c>
      <c r="J35" t="str">
        <f t="shared" si="3"/>
        <v>Average</v>
      </c>
    </row>
    <row r="36" spans="1:10" x14ac:dyDescent="0.35">
      <c r="A36" t="s">
        <v>114</v>
      </c>
      <c r="B36" s="4">
        <v>1980</v>
      </c>
      <c r="C36" s="4">
        <v>2699</v>
      </c>
      <c r="D36" s="1">
        <v>0.27</v>
      </c>
      <c r="E36" s="4">
        <v>32</v>
      </c>
      <c r="F36" s="3">
        <v>4.5</v>
      </c>
      <c r="G36" s="3">
        <f t="shared" si="0"/>
        <v>719</v>
      </c>
      <c r="H36" t="str">
        <f t="shared" si="1"/>
        <v>Excellent</v>
      </c>
      <c r="I36" t="str">
        <f t="shared" si="2"/>
        <v>Medium</v>
      </c>
      <c r="J36" t="str">
        <f t="shared" si="3"/>
        <v>Average</v>
      </c>
    </row>
    <row r="37" spans="1:10" x14ac:dyDescent="0.35">
      <c r="A37" t="s">
        <v>117</v>
      </c>
      <c r="B37" s="4">
        <v>1620</v>
      </c>
      <c r="C37" s="4">
        <v>2690</v>
      </c>
      <c r="D37" s="1">
        <v>0.4</v>
      </c>
      <c r="E37" s="4">
        <v>1</v>
      </c>
      <c r="F37" s="3">
        <v>5</v>
      </c>
      <c r="G37" s="3">
        <f t="shared" si="0"/>
        <v>1070</v>
      </c>
      <c r="H37" t="str">
        <f t="shared" si="1"/>
        <v>Excellent</v>
      </c>
      <c r="I37" t="str">
        <f t="shared" si="2"/>
        <v>Medium</v>
      </c>
      <c r="J37" t="str">
        <f t="shared" si="3"/>
        <v>Average</v>
      </c>
    </row>
    <row r="38" spans="1:10" x14ac:dyDescent="0.35">
      <c r="A38" t="s">
        <v>120</v>
      </c>
      <c r="B38" s="4">
        <v>171</v>
      </c>
      <c r="C38" s="4">
        <v>360</v>
      </c>
      <c r="D38" s="1">
        <v>0.53</v>
      </c>
      <c r="E38" s="4">
        <v>2</v>
      </c>
      <c r="F38" s="3">
        <v>5</v>
      </c>
      <c r="G38" s="3">
        <f t="shared" si="0"/>
        <v>189</v>
      </c>
      <c r="H38" t="str">
        <f t="shared" si="1"/>
        <v>Excellent</v>
      </c>
      <c r="I38" t="str">
        <f t="shared" si="2"/>
        <v>High above</v>
      </c>
      <c r="J38" t="str">
        <f t="shared" si="3"/>
        <v>Cheap</v>
      </c>
    </row>
    <row r="39" spans="1:10" x14ac:dyDescent="0.35">
      <c r="A39" t="s">
        <v>122</v>
      </c>
      <c r="B39" s="4">
        <v>389</v>
      </c>
      <c r="C39" s="4">
        <v>656</v>
      </c>
      <c r="D39" s="1">
        <v>0.41</v>
      </c>
      <c r="E39" s="4">
        <v>36</v>
      </c>
      <c r="F39" s="3">
        <v>4.3</v>
      </c>
      <c r="G39" s="3">
        <f t="shared" si="0"/>
        <v>267</v>
      </c>
      <c r="H39" t="str">
        <f t="shared" si="1"/>
        <v>Average</v>
      </c>
      <c r="I39" t="str">
        <f t="shared" si="2"/>
        <v>High above</v>
      </c>
      <c r="J39" t="str">
        <f t="shared" si="3"/>
        <v>Cheap</v>
      </c>
    </row>
    <row r="40" spans="1:10" x14ac:dyDescent="0.35">
      <c r="A40" t="s">
        <v>125</v>
      </c>
      <c r="B40" s="4">
        <v>1800</v>
      </c>
      <c r="C40" s="4">
        <v>2700</v>
      </c>
      <c r="D40" s="1">
        <v>0.38</v>
      </c>
      <c r="E40" s="4">
        <v>2</v>
      </c>
      <c r="F40" s="3">
        <v>4.5</v>
      </c>
      <c r="G40" s="3">
        <f t="shared" si="0"/>
        <v>900</v>
      </c>
      <c r="H40" t="str">
        <f t="shared" si="1"/>
        <v>Excellent</v>
      </c>
      <c r="I40" t="str">
        <f t="shared" si="2"/>
        <v>Medium</v>
      </c>
      <c r="J40" t="str">
        <f t="shared" si="3"/>
        <v>Average</v>
      </c>
    </row>
    <row r="41" spans="1:10" x14ac:dyDescent="0.35">
      <c r="A41" t="s">
        <v>128</v>
      </c>
      <c r="B41" s="4">
        <v>2750</v>
      </c>
      <c r="C41" s="4">
        <v>4471</v>
      </c>
      <c r="D41" s="1">
        <v>0.38</v>
      </c>
      <c r="E41" s="4">
        <v>0</v>
      </c>
      <c r="G41" s="3">
        <f t="shared" si="0"/>
        <v>1721</v>
      </c>
      <c r="H41" t="str">
        <f t="shared" si="1"/>
        <v>below</v>
      </c>
      <c r="I41" t="str">
        <f t="shared" si="2"/>
        <v>Medium</v>
      </c>
      <c r="J41" t="str">
        <f t="shared" si="3"/>
        <v>Expensive</v>
      </c>
    </row>
    <row r="42" spans="1:10" x14ac:dyDescent="0.35">
      <c r="A42" t="s">
        <v>131</v>
      </c>
      <c r="B42" s="4">
        <v>475</v>
      </c>
      <c r="C42" s="4">
        <v>931</v>
      </c>
      <c r="D42" s="1">
        <v>0.49</v>
      </c>
      <c r="E42" s="4">
        <v>0</v>
      </c>
      <c r="G42" s="3">
        <f t="shared" si="0"/>
        <v>456</v>
      </c>
      <c r="H42" t="str">
        <f t="shared" si="1"/>
        <v>below</v>
      </c>
      <c r="I42" t="str">
        <f t="shared" si="2"/>
        <v>High above</v>
      </c>
      <c r="J42" t="str">
        <f t="shared" si="3"/>
        <v>Cheap</v>
      </c>
    </row>
    <row r="43" spans="1:10" x14ac:dyDescent="0.35">
      <c r="A43" t="s">
        <v>134</v>
      </c>
      <c r="B43" s="4">
        <v>238</v>
      </c>
      <c r="C43" s="4">
        <v>476</v>
      </c>
      <c r="D43" s="1">
        <v>0.5</v>
      </c>
      <c r="E43" s="4">
        <v>0</v>
      </c>
      <c r="G43" s="3">
        <f t="shared" si="0"/>
        <v>238</v>
      </c>
      <c r="H43" t="str">
        <f t="shared" si="1"/>
        <v>below</v>
      </c>
      <c r="I43" t="str">
        <f t="shared" si="2"/>
        <v>High above</v>
      </c>
      <c r="J43" t="str">
        <f t="shared" si="3"/>
        <v>Cheap</v>
      </c>
    </row>
    <row r="44" spans="1:10" x14ac:dyDescent="0.35">
      <c r="A44" t="s">
        <v>137</v>
      </c>
      <c r="B44" s="4">
        <v>610</v>
      </c>
      <c r="C44" s="4">
        <v>1060</v>
      </c>
      <c r="D44" s="1">
        <v>0.42</v>
      </c>
      <c r="E44" s="4">
        <v>0</v>
      </c>
      <c r="G44" s="3">
        <f t="shared" si="0"/>
        <v>450</v>
      </c>
      <c r="H44" t="str">
        <f t="shared" si="1"/>
        <v>below</v>
      </c>
      <c r="I44" t="str">
        <f t="shared" si="2"/>
        <v>High above</v>
      </c>
      <c r="J44" t="str">
        <f t="shared" si="3"/>
        <v>Cheap</v>
      </c>
    </row>
    <row r="45" spans="1:10" x14ac:dyDescent="0.35">
      <c r="A45" t="s">
        <v>140</v>
      </c>
      <c r="B45" s="4">
        <v>2132</v>
      </c>
      <c r="C45" s="4">
        <v>2169</v>
      </c>
      <c r="D45" s="1">
        <v>0.02</v>
      </c>
      <c r="E45" s="4">
        <v>0</v>
      </c>
      <c r="G45" s="3">
        <f t="shared" si="0"/>
        <v>37</v>
      </c>
      <c r="H45" t="str">
        <f t="shared" si="1"/>
        <v>below</v>
      </c>
      <c r="I45" t="str">
        <f t="shared" si="2"/>
        <v>Low below</v>
      </c>
      <c r="J45" t="str">
        <f t="shared" si="3"/>
        <v>Expensive</v>
      </c>
    </row>
    <row r="46" spans="1:10" x14ac:dyDescent="0.35">
      <c r="A46" t="s">
        <v>143</v>
      </c>
      <c r="B46" s="4">
        <v>999</v>
      </c>
      <c r="C46" s="4">
        <v>2000</v>
      </c>
      <c r="D46" s="1">
        <v>0.5</v>
      </c>
      <c r="E46" s="4">
        <v>0</v>
      </c>
      <c r="G46" s="3">
        <f t="shared" si="0"/>
        <v>1001</v>
      </c>
      <c r="H46" t="str">
        <f t="shared" si="1"/>
        <v>below</v>
      </c>
      <c r="I46" t="str">
        <f t="shared" si="2"/>
        <v>High above</v>
      </c>
      <c r="J46" t="str">
        <f t="shared" si="3"/>
        <v>Cheap</v>
      </c>
    </row>
    <row r="47" spans="1:10" x14ac:dyDescent="0.35">
      <c r="A47" t="s">
        <v>145</v>
      </c>
      <c r="B47" s="4">
        <v>1190</v>
      </c>
      <c r="C47" s="4">
        <v>1785</v>
      </c>
      <c r="D47" s="1">
        <v>0.33</v>
      </c>
      <c r="E47" s="4">
        <v>0</v>
      </c>
      <c r="G47" s="3">
        <f t="shared" si="0"/>
        <v>595</v>
      </c>
      <c r="H47" t="str">
        <f t="shared" si="1"/>
        <v>below</v>
      </c>
      <c r="I47" t="str">
        <f t="shared" si="2"/>
        <v>Medium</v>
      </c>
      <c r="J47" t="str">
        <f t="shared" si="3"/>
        <v>Average</v>
      </c>
    </row>
    <row r="48" spans="1:10" x14ac:dyDescent="0.35">
      <c r="A48" t="s">
        <v>148</v>
      </c>
      <c r="B48" s="4">
        <v>671</v>
      </c>
      <c r="C48" s="4">
        <v>1316</v>
      </c>
      <c r="D48" s="1">
        <v>0.49</v>
      </c>
      <c r="E48" s="4">
        <v>0</v>
      </c>
      <c r="G48" s="3">
        <f t="shared" si="0"/>
        <v>645</v>
      </c>
      <c r="H48" t="str">
        <f t="shared" si="1"/>
        <v>below</v>
      </c>
      <c r="I48" t="str">
        <f t="shared" si="2"/>
        <v>High above</v>
      </c>
      <c r="J48" t="str">
        <f t="shared" si="3"/>
        <v>Cheap</v>
      </c>
    </row>
    <row r="49" spans="1:10" x14ac:dyDescent="0.35">
      <c r="A49" t="s">
        <v>151</v>
      </c>
      <c r="B49" s="4">
        <v>1200</v>
      </c>
      <c r="C49" s="4">
        <v>1950</v>
      </c>
      <c r="D49" s="1">
        <v>0.38</v>
      </c>
      <c r="E49" s="4">
        <v>0</v>
      </c>
      <c r="G49" s="3">
        <f t="shared" si="0"/>
        <v>750</v>
      </c>
      <c r="H49" t="str">
        <f t="shared" si="1"/>
        <v>below</v>
      </c>
      <c r="I49" t="str">
        <f t="shared" si="2"/>
        <v>Medium</v>
      </c>
      <c r="J49" t="str">
        <f t="shared" si="3"/>
        <v>Average</v>
      </c>
    </row>
    <row r="50" spans="1:10" x14ac:dyDescent="0.35">
      <c r="A50" t="s">
        <v>154</v>
      </c>
      <c r="B50" s="4">
        <v>199</v>
      </c>
      <c r="C50" s="4">
        <v>504</v>
      </c>
      <c r="D50" s="1">
        <v>0.61</v>
      </c>
      <c r="E50" s="4">
        <v>0</v>
      </c>
      <c r="G50" s="3">
        <f t="shared" si="0"/>
        <v>305</v>
      </c>
      <c r="H50" t="str">
        <f t="shared" si="1"/>
        <v>below</v>
      </c>
      <c r="I50" t="str">
        <f t="shared" si="2"/>
        <v>High above</v>
      </c>
      <c r="J50" t="str">
        <f t="shared" si="3"/>
        <v>Cheap</v>
      </c>
    </row>
    <row r="51" spans="1:10" x14ac:dyDescent="0.35">
      <c r="A51" t="s">
        <v>157</v>
      </c>
      <c r="B51" s="4">
        <v>299</v>
      </c>
      <c r="C51" s="4">
        <v>600</v>
      </c>
      <c r="D51" s="1">
        <v>0.5</v>
      </c>
      <c r="E51" s="4">
        <v>0</v>
      </c>
      <c r="G51" s="3">
        <f t="shared" si="0"/>
        <v>301</v>
      </c>
      <c r="H51" t="str">
        <f t="shared" si="1"/>
        <v>below</v>
      </c>
      <c r="I51" t="str">
        <f t="shared" si="2"/>
        <v>High above</v>
      </c>
      <c r="J51" t="str">
        <f t="shared" si="3"/>
        <v>Cheap</v>
      </c>
    </row>
    <row r="52" spans="1:10" x14ac:dyDescent="0.35">
      <c r="A52" t="s">
        <v>160</v>
      </c>
      <c r="B52" s="4">
        <v>1660</v>
      </c>
      <c r="C52" s="4">
        <v>1699</v>
      </c>
      <c r="D52" s="1">
        <v>0.02</v>
      </c>
      <c r="E52" s="4">
        <v>0</v>
      </c>
      <c r="G52" s="3">
        <f t="shared" si="0"/>
        <v>39</v>
      </c>
      <c r="H52" t="str">
        <f t="shared" si="1"/>
        <v>below</v>
      </c>
      <c r="I52" t="str">
        <f t="shared" si="2"/>
        <v>Low below</v>
      </c>
      <c r="J52" t="str">
        <f t="shared" si="3"/>
        <v>Average</v>
      </c>
    </row>
    <row r="53" spans="1:10" x14ac:dyDescent="0.35">
      <c r="A53" t="s">
        <v>163</v>
      </c>
      <c r="B53" s="4">
        <v>299</v>
      </c>
      <c r="C53" s="4">
        <v>384</v>
      </c>
      <c r="D53" s="1">
        <v>0.22</v>
      </c>
      <c r="E53" s="4">
        <v>0</v>
      </c>
      <c r="G53" s="3">
        <f t="shared" si="0"/>
        <v>85</v>
      </c>
      <c r="H53" t="str">
        <f t="shared" si="1"/>
        <v>below</v>
      </c>
      <c r="I53" t="str">
        <f t="shared" si="2"/>
        <v>Medium</v>
      </c>
      <c r="J53" t="str">
        <f t="shared" si="3"/>
        <v>Cheap</v>
      </c>
    </row>
    <row r="54" spans="1:10" x14ac:dyDescent="0.35">
      <c r="A54" t="s">
        <v>165</v>
      </c>
      <c r="B54" s="4">
        <v>1459</v>
      </c>
      <c r="C54" s="4">
        <v>1499</v>
      </c>
      <c r="D54" s="1">
        <v>0.03</v>
      </c>
      <c r="E54" s="4">
        <v>0</v>
      </c>
      <c r="G54" s="3">
        <f t="shared" si="0"/>
        <v>40</v>
      </c>
      <c r="H54" t="str">
        <f t="shared" si="1"/>
        <v>below</v>
      </c>
      <c r="I54" t="str">
        <f t="shared" si="2"/>
        <v>Low below</v>
      </c>
      <c r="J54" t="str">
        <f t="shared" si="3"/>
        <v>Average</v>
      </c>
    </row>
    <row r="55" spans="1:10" x14ac:dyDescent="0.35">
      <c r="A55" t="s">
        <v>168</v>
      </c>
      <c r="B55" s="4">
        <v>799</v>
      </c>
      <c r="C55" s="4">
        <v>1343</v>
      </c>
      <c r="D55" s="1">
        <v>0.41</v>
      </c>
      <c r="E55" s="4">
        <v>0</v>
      </c>
      <c r="G55" s="3">
        <f t="shared" si="0"/>
        <v>544</v>
      </c>
      <c r="H55" t="str">
        <f t="shared" si="1"/>
        <v>below</v>
      </c>
      <c r="I55" t="str">
        <f t="shared" si="2"/>
        <v>High above</v>
      </c>
      <c r="J55" t="str">
        <f t="shared" si="3"/>
        <v>Cheap</v>
      </c>
    </row>
    <row r="56" spans="1:10" x14ac:dyDescent="0.35">
      <c r="A56" t="s">
        <v>170</v>
      </c>
      <c r="B56" s="4">
        <v>499</v>
      </c>
      <c r="C56" s="4">
        <v>900</v>
      </c>
      <c r="D56" s="1">
        <v>0.45</v>
      </c>
      <c r="E56" s="4">
        <v>0</v>
      </c>
      <c r="G56" s="3">
        <f t="shared" si="0"/>
        <v>401</v>
      </c>
      <c r="H56" t="str">
        <f t="shared" si="1"/>
        <v>below</v>
      </c>
      <c r="I56" t="str">
        <f t="shared" si="2"/>
        <v>High above</v>
      </c>
      <c r="J56" t="str">
        <f t="shared" si="3"/>
        <v>Cheap</v>
      </c>
    </row>
    <row r="57" spans="1:10" x14ac:dyDescent="0.35">
      <c r="A57" t="s">
        <v>173</v>
      </c>
      <c r="B57" s="4">
        <v>699</v>
      </c>
      <c r="C57" s="4">
        <v>1343</v>
      </c>
      <c r="D57" s="1">
        <v>0.48</v>
      </c>
      <c r="E57" s="4">
        <v>0</v>
      </c>
      <c r="G57" s="3">
        <f t="shared" si="0"/>
        <v>644</v>
      </c>
      <c r="H57" t="str">
        <f t="shared" si="1"/>
        <v>below</v>
      </c>
      <c r="I57" t="str">
        <f t="shared" si="2"/>
        <v>High above</v>
      </c>
      <c r="J57" t="str">
        <f t="shared" si="3"/>
        <v>Cheap</v>
      </c>
    </row>
    <row r="58" spans="1:10" x14ac:dyDescent="0.35">
      <c r="A58" t="s">
        <v>175</v>
      </c>
      <c r="B58" s="4">
        <v>799</v>
      </c>
      <c r="C58" s="4">
        <v>1567</v>
      </c>
      <c r="D58" s="1">
        <v>0.49</v>
      </c>
      <c r="E58" s="4">
        <v>0</v>
      </c>
      <c r="G58" s="3">
        <f t="shared" si="0"/>
        <v>768</v>
      </c>
      <c r="H58" t="str">
        <f t="shared" si="1"/>
        <v>below</v>
      </c>
      <c r="I58" t="str">
        <f t="shared" si="2"/>
        <v>High above</v>
      </c>
      <c r="J58" t="str">
        <f t="shared" si="3"/>
        <v>Cheap</v>
      </c>
    </row>
    <row r="59" spans="1:10" x14ac:dyDescent="0.35">
      <c r="A59" t="s">
        <v>177</v>
      </c>
      <c r="B59" s="4">
        <v>2799</v>
      </c>
      <c r="C59" s="4">
        <v>3810</v>
      </c>
      <c r="D59" s="1">
        <v>0.27</v>
      </c>
      <c r="E59" s="4">
        <v>0</v>
      </c>
      <c r="G59" s="3">
        <f t="shared" si="0"/>
        <v>1011</v>
      </c>
      <c r="H59" t="str">
        <f t="shared" si="1"/>
        <v>below</v>
      </c>
      <c r="I59" t="str">
        <f t="shared" si="2"/>
        <v>Medium</v>
      </c>
      <c r="J59" t="str">
        <f t="shared" si="3"/>
        <v>Expensive</v>
      </c>
    </row>
    <row r="60" spans="1:10" x14ac:dyDescent="0.35">
      <c r="A60" t="s">
        <v>170</v>
      </c>
      <c r="B60" s="4">
        <v>399</v>
      </c>
      <c r="C60" s="4">
        <v>896</v>
      </c>
      <c r="D60" s="1">
        <v>0.55000000000000004</v>
      </c>
      <c r="E60" s="4">
        <v>0</v>
      </c>
      <c r="G60" s="3">
        <f t="shared" si="0"/>
        <v>497</v>
      </c>
      <c r="H60" t="str">
        <f t="shared" si="1"/>
        <v>below</v>
      </c>
      <c r="I60" t="str">
        <f t="shared" si="2"/>
        <v>High above</v>
      </c>
      <c r="J60" t="str">
        <f t="shared" si="3"/>
        <v>Cheap</v>
      </c>
    </row>
    <row r="61" spans="1:10" x14ac:dyDescent="0.35">
      <c r="A61" t="s">
        <v>182</v>
      </c>
      <c r="B61" s="4">
        <v>2170</v>
      </c>
      <c r="C61" s="4">
        <v>2500</v>
      </c>
      <c r="D61" s="1">
        <v>0.13</v>
      </c>
      <c r="E61" s="4">
        <v>6</v>
      </c>
      <c r="F61" s="3">
        <v>2.5</v>
      </c>
      <c r="G61" s="3">
        <f t="shared" si="0"/>
        <v>330</v>
      </c>
      <c r="H61" t="str">
        <f t="shared" si="1"/>
        <v>below</v>
      </c>
      <c r="I61" t="str">
        <f t="shared" si="2"/>
        <v>Low below</v>
      </c>
      <c r="J61" t="str">
        <f t="shared" si="3"/>
        <v>Expensive</v>
      </c>
    </row>
    <row r="62" spans="1:10" x14ac:dyDescent="0.35">
      <c r="A62" t="s">
        <v>186</v>
      </c>
      <c r="B62" s="4">
        <v>458</v>
      </c>
      <c r="C62" s="4">
        <v>986</v>
      </c>
      <c r="D62" s="1">
        <v>0.54</v>
      </c>
      <c r="E62" s="4">
        <v>10</v>
      </c>
      <c r="F62" s="3">
        <v>3</v>
      </c>
      <c r="G62" s="3">
        <f t="shared" si="0"/>
        <v>528</v>
      </c>
      <c r="H62" t="str">
        <f t="shared" si="1"/>
        <v>Average</v>
      </c>
      <c r="I62" t="str">
        <f t="shared" si="2"/>
        <v>High above</v>
      </c>
      <c r="J62" t="str">
        <f t="shared" si="3"/>
        <v>Cheap</v>
      </c>
    </row>
    <row r="63" spans="1:10" x14ac:dyDescent="0.35">
      <c r="A63" t="s">
        <v>190</v>
      </c>
      <c r="B63" s="4">
        <v>2115</v>
      </c>
      <c r="C63" s="4">
        <v>4700</v>
      </c>
      <c r="D63" s="1">
        <v>0.55000000000000004</v>
      </c>
      <c r="E63" s="4">
        <v>13</v>
      </c>
      <c r="F63" s="3">
        <v>2.1</v>
      </c>
      <c r="G63" s="3">
        <f t="shared" si="0"/>
        <v>2585</v>
      </c>
      <c r="H63" t="str">
        <f t="shared" si="1"/>
        <v>below</v>
      </c>
      <c r="I63" t="str">
        <f t="shared" si="2"/>
        <v>High above</v>
      </c>
      <c r="J63" t="str">
        <f t="shared" si="3"/>
        <v>Expensive</v>
      </c>
    </row>
    <row r="64" spans="1:10" x14ac:dyDescent="0.35">
      <c r="A64" t="s">
        <v>194</v>
      </c>
      <c r="B64" s="4">
        <v>445</v>
      </c>
      <c r="C64" s="4">
        <v>873</v>
      </c>
      <c r="D64" s="1">
        <v>0.49</v>
      </c>
      <c r="E64" s="4">
        <v>69</v>
      </c>
      <c r="F64" s="3">
        <v>2.8</v>
      </c>
      <c r="G64" s="3">
        <f t="shared" si="0"/>
        <v>428</v>
      </c>
      <c r="H64" t="str">
        <f t="shared" si="1"/>
        <v>below</v>
      </c>
      <c r="I64" t="str">
        <f t="shared" si="2"/>
        <v>High above</v>
      </c>
      <c r="J64" t="str">
        <f t="shared" si="3"/>
        <v>Cheap</v>
      </c>
    </row>
    <row r="65" spans="1:10" x14ac:dyDescent="0.35">
      <c r="A65" t="s">
        <v>198</v>
      </c>
      <c r="B65" s="4">
        <v>325</v>
      </c>
      <c r="C65" s="4">
        <v>680</v>
      </c>
      <c r="D65" s="1">
        <v>0.52</v>
      </c>
      <c r="E65" s="4">
        <v>15</v>
      </c>
      <c r="F65" s="3">
        <v>2.7</v>
      </c>
      <c r="G65" s="3">
        <f t="shared" si="0"/>
        <v>355</v>
      </c>
      <c r="H65" t="str">
        <f t="shared" si="1"/>
        <v>below</v>
      </c>
      <c r="I65" t="str">
        <f t="shared" si="2"/>
        <v>High above</v>
      </c>
      <c r="J65" t="str">
        <f t="shared" si="3"/>
        <v>Cheap</v>
      </c>
    </row>
    <row r="66" spans="1:10" x14ac:dyDescent="0.35">
      <c r="A66" t="s">
        <v>202</v>
      </c>
      <c r="B66" s="4">
        <v>1220</v>
      </c>
      <c r="C66" s="4">
        <v>1555</v>
      </c>
      <c r="D66" s="1">
        <v>0.22</v>
      </c>
      <c r="E66" s="4">
        <v>16</v>
      </c>
      <c r="F66" s="3">
        <v>2.9</v>
      </c>
      <c r="G66" s="3">
        <f t="shared" si="0"/>
        <v>335</v>
      </c>
      <c r="H66" t="str">
        <f t="shared" si="1"/>
        <v>below</v>
      </c>
      <c r="I66" t="str">
        <f t="shared" si="2"/>
        <v>Medium</v>
      </c>
      <c r="J66" t="str">
        <f t="shared" si="3"/>
        <v>Average</v>
      </c>
    </row>
    <row r="67" spans="1:10" x14ac:dyDescent="0.35">
      <c r="A67" t="s">
        <v>206</v>
      </c>
      <c r="B67" s="4">
        <v>990</v>
      </c>
      <c r="C67" s="4">
        <v>1814</v>
      </c>
      <c r="D67" s="1">
        <v>0.45</v>
      </c>
      <c r="E67" s="4">
        <v>6</v>
      </c>
      <c r="F67" s="3">
        <v>2.2000000000000002</v>
      </c>
      <c r="G67" s="3">
        <f t="shared" ref="G67:G113" si="4">C67-B67</f>
        <v>824</v>
      </c>
      <c r="H67" t="str">
        <f t="shared" ref="H67:H113" si="5">IF(F67&gt;=4.5,"Excellent",IF(F67&gt;=3,"Average","below"))</f>
        <v>below</v>
      </c>
      <c r="I67" t="str">
        <f t="shared" ref="I67:I113" si="6">_xlfn.IFS(D67&gt;40%,"High above",D67&gt;=20%,"Medium",D67&lt;20%,"Low below")</f>
        <v>High above</v>
      </c>
      <c r="J67" t="str">
        <f t="shared" ref="J67:J113" si="7">IF(B67&gt;=2000,"Expensive",IF(B67&gt;=1000,"Average","Cheap"))</f>
        <v>Cheap</v>
      </c>
    </row>
    <row r="68" spans="1:10" x14ac:dyDescent="0.35">
      <c r="A68" t="s">
        <v>209</v>
      </c>
      <c r="B68" s="4">
        <v>1000</v>
      </c>
      <c r="C68" s="4">
        <v>2000</v>
      </c>
      <c r="D68" s="1">
        <v>0.5</v>
      </c>
      <c r="E68" s="4">
        <v>7</v>
      </c>
      <c r="F68" s="3">
        <v>2.2999999999999998</v>
      </c>
      <c r="G68" s="3">
        <f t="shared" si="4"/>
        <v>1000</v>
      </c>
      <c r="H68" t="str">
        <f t="shared" si="5"/>
        <v>below</v>
      </c>
      <c r="I68" t="str">
        <f t="shared" si="6"/>
        <v>High above</v>
      </c>
      <c r="J68" t="str">
        <f t="shared" si="7"/>
        <v>Average</v>
      </c>
    </row>
    <row r="69" spans="1:10" x14ac:dyDescent="0.35">
      <c r="A69" t="s">
        <v>212</v>
      </c>
      <c r="B69" s="4">
        <v>3750</v>
      </c>
      <c r="C69" s="4">
        <v>6143</v>
      </c>
      <c r="D69" s="1">
        <v>0.39</v>
      </c>
      <c r="E69" s="4">
        <v>5</v>
      </c>
      <c r="F69" s="3">
        <v>3</v>
      </c>
      <c r="G69" s="3">
        <f t="shared" si="4"/>
        <v>2393</v>
      </c>
      <c r="H69" t="str">
        <f t="shared" si="5"/>
        <v>Average</v>
      </c>
      <c r="I69" t="str">
        <f t="shared" si="6"/>
        <v>Medium</v>
      </c>
      <c r="J69" t="str">
        <f t="shared" si="7"/>
        <v>Expensive</v>
      </c>
    </row>
    <row r="70" spans="1:10" x14ac:dyDescent="0.35">
      <c r="A70" t="s">
        <v>215</v>
      </c>
      <c r="B70" s="4">
        <v>382</v>
      </c>
      <c r="C70" s="4">
        <v>700</v>
      </c>
      <c r="D70" s="1">
        <v>0.45</v>
      </c>
      <c r="E70" s="4">
        <v>17</v>
      </c>
      <c r="F70" s="3">
        <v>2.6</v>
      </c>
      <c r="G70" s="3">
        <f t="shared" si="4"/>
        <v>318</v>
      </c>
      <c r="H70" t="str">
        <f t="shared" si="5"/>
        <v>below</v>
      </c>
      <c r="I70" t="str">
        <f t="shared" si="6"/>
        <v>High above</v>
      </c>
      <c r="J70" t="str">
        <f t="shared" si="7"/>
        <v>Cheap</v>
      </c>
    </row>
    <row r="71" spans="1:10" x14ac:dyDescent="0.35">
      <c r="A71" t="s">
        <v>218</v>
      </c>
      <c r="B71" s="4">
        <v>2300</v>
      </c>
      <c r="C71" s="4">
        <v>3240</v>
      </c>
      <c r="D71" s="1">
        <v>0.28999999999999998</v>
      </c>
      <c r="E71" s="4">
        <v>5</v>
      </c>
      <c r="F71" s="3">
        <v>3</v>
      </c>
      <c r="G71" s="3">
        <f t="shared" si="4"/>
        <v>940</v>
      </c>
      <c r="H71" t="str">
        <f t="shared" si="5"/>
        <v>Average</v>
      </c>
      <c r="I71" t="str">
        <f t="shared" si="6"/>
        <v>Medium</v>
      </c>
      <c r="J71" t="str">
        <f t="shared" si="7"/>
        <v>Expensive</v>
      </c>
    </row>
    <row r="72" spans="1:10" x14ac:dyDescent="0.35">
      <c r="A72" t="s">
        <v>221</v>
      </c>
      <c r="B72" s="4">
        <v>345</v>
      </c>
      <c r="C72" s="4">
        <v>602</v>
      </c>
      <c r="D72" s="1">
        <v>0.43</v>
      </c>
      <c r="E72" s="4">
        <v>6</v>
      </c>
      <c r="F72" s="3">
        <v>2.2999999999999998</v>
      </c>
      <c r="G72" s="3">
        <f t="shared" si="4"/>
        <v>257</v>
      </c>
      <c r="H72" t="str">
        <f t="shared" si="5"/>
        <v>below</v>
      </c>
      <c r="I72" t="str">
        <f t="shared" si="6"/>
        <v>High above</v>
      </c>
      <c r="J72" t="str">
        <f t="shared" si="7"/>
        <v>Cheap</v>
      </c>
    </row>
    <row r="73" spans="1:10" x14ac:dyDescent="0.35">
      <c r="A73" t="s">
        <v>224</v>
      </c>
      <c r="B73" s="4">
        <v>509</v>
      </c>
      <c r="C73" s="4">
        <v>899</v>
      </c>
      <c r="D73" s="1">
        <v>0.43</v>
      </c>
      <c r="E73" s="4">
        <v>5</v>
      </c>
      <c r="F73" s="3">
        <v>3</v>
      </c>
      <c r="G73" s="3">
        <f t="shared" si="4"/>
        <v>390</v>
      </c>
      <c r="H73" t="str">
        <f t="shared" si="5"/>
        <v>Average</v>
      </c>
      <c r="I73" t="str">
        <f t="shared" si="6"/>
        <v>High above</v>
      </c>
      <c r="J73" t="str">
        <f t="shared" si="7"/>
        <v>Cheap</v>
      </c>
    </row>
    <row r="74" spans="1:10" x14ac:dyDescent="0.35">
      <c r="A74" t="s">
        <v>227</v>
      </c>
      <c r="B74" s="4">
        <v>968</v>
      </c>
      <c r="C74" s="4">
        <v>1814</v>
      </c>
      <c r="D74" s="1">
        <v>0.47</v>
      </c>
      <c r="E74" s="4">
        <v>6</v>
      </c>
      <c r="F74" s="3">
        <v>2.2000000000000002</v>
      </c>
      <c r="G74" s="3">
        <f t="shared" si="4"/>
        <v>846</v>
      </c>
      <c r="H74" t="str">
        <f t="shared" si="5"/>
        <v>below</v>
      </c>
      <c r="I74" t="str">
        <f t="shared" si="6"/>
        <v>High above</v>
      </c>
      <c r="J74" t="str">
        <f t="shared" si="7"/>
        <v>Cheap</v>
      </c>
    </row>
    <row r="75" spans="1:10" x14ac:dyDescent="0.35">
      <c r="A75" t="s">
        <v>229</v>
      </c>
      <c r="B75" s="4">
        <v>1570</v>
      </c>
      <c r="C75" s="4">
        <v>2988</v>
      </c>
      <c r="D75" s="1">
        <v>0.47</v>
      </c>
      <c r="E75" s="4">
        <v>7</v>
      </c>
      <c r="F75" s="3">
        <v>2.1</v>
      </c>
      <c r="G75" s="3">
        <f t="shared" si="4"/>
        <v>1418</v>
      </c>
      <c r="H75" t="str">
        <f t="shared" si="5"/>
        <v>below</v>
      </c>
      <c r="I75" t="str">
        <f t="shared" si="6"/>
        <v>High above</v>
      </c>
      <c r="J75" t="str">
        <f t="shared" si="7"/>
        <v>Average</v>
      </c>
    </row>
    <row r="76" spans="1:10" x14ac:dyDescent="0.35">
      <c r="A76" t="s">
        <v>232</v>
      </c>
      <c r="B76" s="4">
        <v>790</v>
      </c>
      <c r="C76" s="4">
        <v>1485</v>
      </c>
      <c r="D76" s="1">
        <v>0.47</v>
      </c>
      <c r="E76" s="4">
        <v>0</v>
      </c>
      <c r="G76" s="3">
        <f t="shared" si="4"/>
        <v>695</v>
      </c>
      <c r="H76" t="str">
        <f t="shared" si="5"/>
        <v>below</v>
      </c>
      <c r="I76" t="str">
        <f t="shared" si="6"/>
        <v>High above</v>
      </c>
      <c r="J76" t="str">
        <f t="shared" si="7"/>
        <v>Cheap</v>
      </c>
    </row>
    <row r="77" spans="1:10" x14ac:dyDescent="0.35">
      <c r="A77" t="s">
        <v>235</v>
      </c>
      <c r="B77" s="4">
        <v>690</v>
      </c>
      <c r="C77" s="4">
        <v>1200</v>
      </c>
      <c r="D77" s="1">
        <v>0.43</v>
      </c>
      <c r="E77" s="4">
        <v>0</v>
      </c>
      <c r="G77" s="3">
        <f t="shared" si="4"/>
        <v>510</v>
      </c>
      <c r="H77" t="str">
        <f t="shared" si="5"/>
        <v>below</v>
      </c>
      <c r="I77" t="str">
        <f t="shared" si="6"/>
        <v>High above</v>
      </c>
      <c r="J77" t="str">
        <f t="shared" si="7"/>
        <v>Cheap</v>
      </c>
    </row>
    <row r="78" spans="1:10" x14ac:dyDescent="0.35">
      <c r="A78" t="s">
        <v>237</v>
      </c>
      <c r="B78" s="4">
        <v>1732</v>
      </c>
      <c r="C78" s="4">
        <v>1799</v>
      </c>
      <c r="D78" s="1">
        <v>0.04</v>
      </c>
      <c r="E78" s="4">
        <v>0</v>
      </c>
      <c r="G78" s="3">
        <f t="shared" si="4"/>
        <v>67</v>
      </c>
      <c r="H78" t="str">
        <f t="shared" si="5"/>
        <v>below</v>
      </c>
      <c r="I78" t="str">
        <f t="shared" si="6"/>
        <v>Low below</v>
      </c>
      <c r="J78" t="str">
        <f t="shared" si="7"/>
        <v>Average</v>
      </c>
    </row>
    <row r="79" spans="1:10" x14ac:dyDescent="0.35">
      <c r="A79" t="s">
        <v>240</v>
      </c>
      <c r="B79" s="4">
        <v>230</v>
      </c>
      <c r="C79" s="4">
        <v>450</v>
      </c>
      <c r="D79" s="1">
        <v>0.49</v>
      </c>
      <c r="E79" s="4">
        <v>0</v>
      </c>
      <c r="G79" s="3">
        <f t="shared" si="4"/>
        <v>220</v>
      </c>
      <c r="H79" t="str">
        <f t="shared" si="5"/>
        <v>below</v>
      </c>
      <c r="I79" t="str">
        <f t="shared" si="6"/>
        <v>High above</v>
      </c>
      <c r="J79" t="str">
        <f t="shared" si="7"/>
        <v>Cheap</v>
      </c>
    </row>
    <row r="80" spans="1:10" x14ac:dyDescent="0.35">
      <c r="A80" t="s">
        <v>243</v>
      </c>
      <c r="B80" s="4">
        <v>1189</v>
      </c>
      <c r="C80" s="4">
        <v>2199</v>
      </c>
      <c r="D80" s="1">
        <v>0.46</v>
      </c>
      <c r="E80" s="4">
        <v>1</v>
      </c>
      <c r="F80" s="3">
        <v>3</v>
      </c>
      <c r="G80" s="3">
        <f t="shared" si="4"/>
        <v>1010</v>
      </c>
      <c r="H80" t="str">
        <f t="shared" si="5"/>
        <v>Average</v>
      </c>
      <c r="I80" t="str">
        <f t="shared" si="6"/>
        <v>High above</v>
      </c>
      <c r="J80" t="str">
        <f t="shared" si="7"/>
        <v>Average</v>
      </c>
    </row>
    <row r="81" spans="1:10" x14ac:dyDescent="0.35">
      <c r="A81" t="s">
        <v>245</v>
      </c>
      <c r="B81" s="4">
        <v>979</v>
      </c>
      <c r="C81" s="4">
        <v>1920</v>
      </c>
      <c r="D81" s="1">
        <v>0.49</v>
      </c>
      <c r="E81" s="4">
        <v>1</v>
      </c>
      <c r="F81" s="3">
        <v>5</v>
      </c>
      <c r="G81" s="3">
        <f t="shared" si="4"/>
        <v>941</v>
      </c>
      <c r="H81" t="str">
        <f t="shared" si="5"/>
        <v>Excellent</v>
      </c>
      <c r="I81" t="str">
        <f t="shared" si="6"/>
        <v>High above</v>
      </c>
      <c r="J81" t="str">
        <f t="shared" si="7"/>
        <v>Cheap</v>
      </c>
    </row>
    <row r="82" spans="1:10" x14ac:dyDescent="0.35">
      <c r="A82" t="s">
        <v>248</v>
      </c>
      <c r="B82" s="4">
        <v>1460</v>
      </c>
      <c r="C82" s="4">
        <v>2290</v>
      </c>
      <c r="D82" s="1">
        <v>0.36</v>
      </c>
      <c r="E82" s="4">
        <v>0</v>
      </c>
      <c r="G82" s="3">
        <f t="shared" si="4"/>
        <v>830</v>
      </c>
      <c r="H82" t="str">
        <f t="shared" si="5"/>
        <v>below</v>
      </c>
      <c r="I82" t="str">
        <f t="shared" si="6"/>
        <v>Medium</v>
      </c>
      <c r="J82" t="str">
        <f t="shared" si="7"/>
        <v>Average</v>
      </c>
    </row>
    <row r="83" spans="1:10" x14ac:dyDescent="0.35">
      <c r="A83" t="s">
        <v>251</v>
      </c>
      <c r="B83" s="4">
        <v>1666</v>
      </c>
      <c r="C83" s="4">
        <v>1699</v>
      </c>
      <c r="D83" s="1">
        <v>0.02</v>
      </c>
      <c r="E83" s="4">
        <v>0</v>
      </c>
      <c r="G83" s="3">
        <f t="shared" si="4"/>
        <v>33</v>
      </c>
      <c r="H83" t="str">
        <f t="shared" si="5"/>
        <v>below</v>
      </c>
      <c r="I83" t="str">
        <f t="shared" si="6"/>
        <v>Low below</v>
      </c>
      <c r="J83" t="str">
        <f t="shared" si="7"/>
        <v>Average</v>
      </c>
    </row>
    <row r="84" spans="1:10" x14ac:dyDescent="0.35">
      <c r="A84" t="s">
        <v>253</v>
      </c>
      <c r="B84" s="4">
        <v>330</v>
      </c>
      <c r="C84" s="4">
        <v>647</v>
      </c>
      <c r="D84" s="1">
        <v>0.49</v>
      </c>
      <c r="E84" s="4">
        <v>1</v>
      </c>
      <c r="F84" s="3">
        <v>4</v>
      </c>
      <c r="G84" s="3">
        <f t="shared" si="4"/>
        <v>317</v>
      </c>
      <c r="H84" t="str">
        <f t="shared" si="5"/>
        <v>Average</v>
      </c>
      <c r="I84" t="str">
        <f t="shared" si="6"/>
        <v>High above</v>
      </c>
      <c r="J84" t="str">
        <f t="shared" si="7"/>
        <v>Cheap</v>
      </c>
    </row>
    <row r="85" spans="1:10" x14ac:dyDescent="0.35">
      <c r="A85" t="s">
        <v>154</v>
      </c>
      <c r="B85" s="4">
        <v>176</v>
      </c>
      <c r="C85" s="4">
        <v>345</v>
      </c>
      <c r="D85" s="1">
        <v>0.49</v>
      </c>
      <c r="E85" s="4">
        <v>0</v>
      </c>
      <c r="G85" s="3">
        <f t="shared" si="4"/>
        <v>169</v>
      </c>
      <c r="H85" t="str">
        <f t="shared" si="5"/>
        <v>below</v>
      </c>
      <c r="I85" t="str">
        <f t="shared" si="6"/>
        <v>High above</v>
      </c>
      <c r="J85" t="str">
        <f t="shared" si="7"/>
        <v>Cheap</v>
      </c>
    </row>
    <row r="86" spans="1:10" x14ac:dyDescent="0.35">
      <c r="A86" t="s">
        <v>256</v>
      </c>
      <c r="B86" s="4">
        <v>1466</v>
      </c>
      <c r="C86" s="4">
        <v>1699</v>
      </c>
      <c r="D86" s="1">
        <v>0.14000000000000001</v>
      </c>
      <c r="E86" s="4">
        <v>0</v>
      </c>
      <c r="G86" s="3">
        <f t="shared" si="4"/>
        <v>233</v>
      </c>
      <c r="H86" t="str">
        <f t="shared" si="5"/>
        <v>below</v>
      </c>
      <c r="I86" t="str">
        <f t="shared" si="6"/>
        <v>Low below</v>
      </c>
      <c r="J86" t="str">
        <f t="shared" si="7"/>
        <v>Average</v>
      </c>
    </row>
    <row r="87" spans="1:10" x14ac:dyDescent="0.35">
      <c r="A87" t="s">
        <v>258</v>
      </c>
      <c r="B87" s="4">
        <v>274</v>
      </c>
      <c r="C87" s="4">
        <v>537</v>
      </c>
      <c r="D87" s="1">
        <v>0.49</v>
      </c>
      <c r="E87" s="4">
        <v>0</v>
      </c>
      <c r="G87" s="3">
        <f t="shared" si="4"/>
        <v>263</v>
      </c>
      <c r="H87" t="str">
        <f t="shared" si="5"/>
        <v>below</v>
      </c>
      <c r="I87" t="str">
        <f t="shared" si="6"/>
        <v>High above</v>
      </c>
      <c r="J87" t="str">
        <f t="shared" si="7"/>
        <v>Cheap</v>
      </c>
    </row>
    <row r="88" spans="1:10" x14ac:dyDescent="0.35">
      <c r="A88" t="s">
        <v>261</v>
      </c>
      <c r="B88" s="4">
        <v>799</v>
      </c>
      <c r="C88" s="4">
        <v>900</v>
      </c>
      <c r="D88" s="1">
        <v>0.11</v>
      </c>
      <c r="E88" s="4">
        <v>0</v>
      </c>
      <c r="G88" s="3">
        <f t="shared" si="4"/>
        <v>101</v>
      </c>
      <c r="H88" t="str">
        <f t="shared" si="5"/>
        <v>below</v>
      </c>
      <c r="I88" t="str">
        <f t="shared" si="6"/>
        <v>Low below</v>
      </c>
      <c r="J88" t="str">
        <f t="shared" si="7"/>
        <v>Cheap</v>
      </c>
    </row>
    <row r="89" spans="1:10" x14ac:dyDescent="0.35">
      <c r="A89" t="s">
        <v>175</v>
      </c>
      <c r="B89" s="4">
        <v>657</v>
      </c>
      <c r="C89" s="4">
        <v>1288</v>
      </c>
      <c r="D89" s="1">
        <v>0.49</v>
      </c>
      <c r="E89" s="4">
        <v>0</v>
      </c>
      <c r="G89" s="3">
        <f t="shared" si="4"/>
        <v>631</v>
      </c>
      <c r="H89" t="str">
        <f t="shared" si="5"/>
        <v>below</v>
      </c>
      <c r="I89" t="str">
        <f t="shared" si="6"/>
        <v>High above</v>
      </c>
      <c r="J89" t="str">
        <f t="shared" si="7"/>
        <v>Cheap</v>
      </c>
    </row>
    <row r="90" spans="1:10" x14ac:dyDescent="0.35">
      <c r="A90" t="s">
        <v>264</v>
      </c>
      <c r="B90" s="4">
        <v>1468</v>
      </c>
      <c r="C90" s="4">
        <v>1699</v>
      </c>
      <c r="D90" s="1">
        <v>0.14000000000000001</v>
      </c>
      <c r="E90" s="4">
        <v>0</v>
      </c>
      <c r="G90" s="3">
        <f t="shared" si="4"/>
        <v>231</v>
      </c>
      <c r="H90" t="str">
        <f t="shared" si="5"/>
        <v>below</v>
      </c>
      <c r="I90" t="str">
        <f t="shared" si="6"/>
        <v>Low below</v>
      </c>
      <c r="J90" t="str">
        <f t="shared" si="7"/>
        <v>Average</v>
      </c>
    </row>
    <row r="91" spans="1:10" x14ac:dyDescent="0.35">
      <c r="A91" t="s">
        <v>266</v>
      </c>
      <c r="B91" s="4">
        <v>630</v>
      </c>
      <c r="C91" s="4">
        <v>1100</v>
      </c>
      <c r="D91" s="1">
        <v>0.43</v>
      </c>
      <c r="E91" s="4">
        <v>0</v>
      </c>
      <c r="G91" s="3">
        <f t="shared" si="4"/>
        <v>470</v>
      </c>
      <c r="H91" t="str">
        <f t="shared" si="5"/>
        <v>below</v>
      </c>
      <c r="I91" t="str">
        <f t="shared" si="6"/>
        <v>High above</v>
      </c>
      <c r="J91" t="str">
        <f t="shared" si="7"/>
        <v>Cheap</v>
      </c>
    </row>
    <row r="92" spans="1:10" x14ac:dyDescent="0.35">
      <c r="A92" t="s">
        <v>269</v>
      </c>
      <c r="B92" s="4">
        <v>850</v>
      </c>
      <c r="C92" s="4">
        <v>1700</v>
      </c>
      <c r="D92" s="1">
        <v>0.5</v>
      </c>
      <c r="E92" s="4">
        <v>0</v>
      </c>
      <c r="G92" s="3">
        <f t="shared" si="4"/>
        <v>850</v>
      </c>
      <c r="H92" t="str">
        <f t="shared" si="5"/>
        <v>below</v>
      </c>
      <c r="I92" t="str">
        <f t="shared" si="6"/>
        <v>High above</v>
      </c>
      <c r="J92" t="str">
        <f t="shared" si="7"/>
        <v>Cheap</v>
      </c>
    </row>
    <row r="93" spans="1:10" x14ac:dyDescent="0.35">
      <c r="A93" t="s">
        <v>272</v>
      </c>
      <c r="B93" s="4">
        <v>1300</v>
      </c>
      <c r="C93" s="4">
        <v>2500</v>
      </c>
      <c r="D93" s="1">
        <v>0.48</v>
      </c>
      <c r="E93" s="4">
        <v>0</v>
      </c>
      <c r="G93" s="3">
        <f t="shared" si="4"/>
        <v>1200</v>
      </c>
      <c r="H93" t="str">
        <f t="shared" si="5"/>
        <v>below</v>
      </c>
      <c r="I93" t="str">
        <f t="shared" si="6"/>
        <v>High above</v>
      </c>
      <c r="J93" t="str">
        <f t="shared" si="7"/>
        <v>Average</v>
      </c>
    </row>
    <row r="94" spans="1:10" x14ac:dyDescent="0.35">
      <c r="A94" t="s">
        <v>274</v>
      </c>
      <c r="B94" s="4">
        <v>105</v>
      </c>
      <c r="C94" s="4">
        <v>200</v>
      </c>
      <c r="D94" s="1">
        <v>0.48</v>
      </c>
      <c r="E94" s="4">
        <v>0</v>
      </c>
      <c r="G94" s="3">
        <f t="shared" si="4"/>
        <v>95</v>
      </c>
      <c r="H94" t="str">
        <f t="shared" si="5"/>
        <v>below</v>
      </c>
      <c r="I94" t="str">
        <f t="shared" si="6"/>
        <v>High above</v>
      </c>
      <c r="J94" t="str">
        <f t="shared" si="7"/>
        <v>Cheap</v>
      </c>
    </row>
    <row r="95" spans="1:10" x14ac:dyDescent="0.35">
      <c r="A95" t="s">
        <v>277</v>
      </c>
      <c r="B95" s="4">
        <v>899</v>
      </c>
      <c r="C95" s="4">
        <v>1699</v>
      </c>
      <c r="D95" s="1">
        <v>0.47</v>
      </c>
      <c r="E95" s="4">
        <v>0</v>
      </c>
      <c r="G95" s="3">
        <f t="shared" si="4"/>
        <v>800</v>
      </c>
      <c r="H95" t="str">
        <f t="shared" si="5"/>
        <v>below</v>
      </c>
      <c r="I95" t="str">
        <f t="shared" si="6"/>
        <v>High above</v>
      </c>
      <c r="J95" t="str">
        <f t="shared" si="7"/>
        <v>Cheap</v>
      </c>
    </row>
    <row r="96" spans="1:10" x14ac:dyDescent="0.35">
      <c r="A96" t="s">
        <v>278</v>
      </c>
      <c r="B96" s="4">
        <v>1200</v>
      </c>
      <c r="C96" s="4">
        <v>2400</v>
      </c>
      <c r="D96" s="1">
        <v>0.5</v>
      </c>
      <c r="E96" s="4">
        <v>0</v>
      </c>
      <c r="G96" s="3">
        <f t="shared" si="4"/>
        <v>1200</v>
      </c>
      <c r="H96" t="str">
        <f t="shared" si="5"/>
        <v>below</v>
      </c>
      <c r="I96" t="str">
        <f t="shared" si="6"/>
        <v>High above</v>
      </c>
      <c r="J96" t="str">
        <f t="shared" si="7"/>
        <v>Average</v>
      </c>
    </row>
    <row r="97" spans="1:10" x14ac:dyDescent="0.35">
      <c r="A97" t="s">
        <v>280</v>
      </c>
      <c r="B97" s="4">
        <v>1526</v>
      </c>
      <c r="C97" s="4">
        <v>1660</v>
      </c>
      <c r="D97" s="1">
        <v>0.08</v>
      </c>
      <c r="E97" s="4">
        <v>0</v>
      </c>
      <c r="G97" s="3">
        <f t="shared" si="4"/>
        <v>134</v>
      </c>
      <c r="H97" t="str">
        <f t="shared" si="5"/>
        <v>below</v>
      </c>
      <c r="I97" t="str">
        <f t="shared" si="6"/>
        <v>Low below</v>
      </c>
      <c r="J97" t="str">
        <f t="shared" si="7"/>
        <v>Average</v>
      </c>
    </row>
    <row r="98" spans="1:10" x14ac:dyDescent="0.35">
      <c r="A98" t="s">
        <v>282</v>
      </c>
      <c r="B98" s="4">
        <v>1462</v>
      </c>
      <c r="C98" s="4">
        <v>1499</v>
      </c>
      <c r="D98" s="1">
        <v>0.02</v>
      </c>
      <c r="E98" s="4">
        <v>0</v>
      </c>
      <c r="G98" s="3">
        <f t="shared" si="4"/>
        <v>37</v>
      </c>
      <c r="H98" t="str">
        <f t="shared" si="5"/>
        <v>below</v>
      </c>
      <c r="I98" t="str">
        <f t="shared" si="6"/>
        <v>Low below</v>
      </c>
      <c r="J98" t="str">
        <f t="shared" si="7"/>
        <v>Average</v>
      </c>
    </row>
    <row r="99" spans="1:10" x14ac:dyDescent="0.35">
      <c r="A99" t="s">
        <v>284</v>
      </c>
      <c r="B99" s="4">
        <v>248</v>
      </c>
      <c r="C99" s="4">
        <v>486</v>
      </c>
      <c r="D99" s="1">
        <v>0.49</v>
      </c>
      <c r="E99" s="4">
        <v>0</v>
      </c>
      <c r="G99" s="3">
        <f t="shared" si="4"/>
        <v>238</v>
      </c>
      <c r="H99" t="str">
        <f t="shared" si="5"/>
        <v>below</v>
      </c>
      <c r="I99" t="str">
        <f t="shared" si="6"/>
        <v>High above</v>
      </c>
      <c r="J99" t="str">
        <f t="shared" si="7"/>
        <v>Cheap</v>
      </c>
    </row>
    <row r="100" spans="1:10" x14ac:dyDescent="0.35">
      <c r="A100" t="s">
        <v>287</v>
      </c>
      <c r="B100" s="4">
        <v>3546</v>
      </c>
      <c r="C100" s="4">
        <v>3699</v>
      </c>
      <c r="D100" s="1">
        <v>0.04</v>
      </c>
      <c r="E100" s="4">
        <v>0</v>
      </c>
      <c r="G100" s="3">
        <f t="shared" si="4"/>
        <v>153</v>
      </c>
      <c r="H100" t="str">
        <f t="shared" si="5"/>
        <v>below</v>
      </c>
      <c r="I100" t="str">
        <f t="shared" si="6"/>
        <v>Low below</v>
      </c>
      <c r="J100" t="str">
        <f t="shared" si="7"/>
        <v>Expensive</v>
      </c>
    </row>
    <row r="101" spans="1:10" x14ac:dyDescent="0.35">
      <c r="A101" t="s">
        <v>289</v>
      </c>
      <c r="B101" s="4">
        <v>525</v>
      </c>
      <c r="C101" s="4">
        <v>1029</v>
      </c>
      <c r="D101" s="1">
        <v>0.49</v>
      </c>
      <c r="E101" s="4">
        <v>0</v>
      </c>
      <c r="G101" s="3">
        <f t="shared" si="4"/>
        <v>504</v>
      </c>
      <c r="H101" t="str">
        <f t="shared" si="5"/>
        <v>below</v>
      </c>
      <c r="I101" t="str">
        <f t="shared" si="6"/>
        <v>High above</v>
      </c>
      <c r="J101" t="str">
        <f t="shared" si="7"/>
        <v>Cheap</v>
      </c>
    </row>
    <row r="102" spans="1:10" x14ac:dyDescent="0.35">
      <c r="A102" t="s">
        <v>292</v>
      </c>
      <c r="B102" s="4">
        <v>1080</v>
      </c>
      <c r="C102" s="4">
        <v>1874</v>
      </c>
      <c r="D102" s="1">
        <v>0.42</v>
      </c>
      <c r="E102" s="4">
        <v>0</v>
      </c>
      <c r="G102" s="3">
        <f t="shared" si="4"/>
        <v>794</v>
      </c>
      <c r="H102" t="str">
        <f t="shared" si="5"/>
        <v>below</v>
      </c>
      <c r="I102" t="str">
        <f t="shared" si="6"/>
        <v>High above</v>
      </c>
      <c r="J102" t="str">
        <f t="shared" si="7"/>
        <v>Average</v>
      </c>
    </row>
    <row r="103" spans="1:10" x14ac:dyDescent="0.35">
      <c r="A103" t="s">
        <v>295</v>
      </c>
      <c r="B103" s="4">
        <v>3640</v>
      </c>
      <c r="C103" s="4">
        <v>4588</v>
      </c>
      <c r="D103" s="1">
        <v>0.21</v>
      </c>
      <c r="E103" s="4">
        <v>1</v>
      </c>
      <c r="F103" s="3">
        <v>5</v>
      </c>
      <c r="G103" s="3">
        <f t="shared" si="4"/>
        <v>948</v>
      </c>
      <c r="H103" t="str">
        <f t="shared" si="5"/>
        <v>Excellent</v>
      </c>
      <c r="I103" t="str">
        <f t="shared" si="6"/>
        <v>Medium</v>
      </c>
      <c r="J103" t="str">
        <f t="shared" si="7"/>
        <v>Expensive</v>
      </c>
    </row>
    <row r="104" spans="1:10" x14ac:dyDescent="0.35">
      <c r="A104" t="s">
        <v>298</v>
      </c>
      <c r="B104" s="4">
        <v>1420</v>
      </c>
      <c r="C104" s="4">
        <v>2420</v>
      </c>
      <c r="D104" s="1">
        <v>0.41</v>
      </c>
      <c r="E104" s="4">
        <v>0</v>
      </c>
      <c r="G104" s="3">
        <f t="shared" si="4"/>
        <v>1000</v>
      </c>
      <c r="H104" t="str">
        <f t="shared" si="5"/>
        <v>below</v>
      </c>
      <c r="I104" t="str">
        <f t="shared" si="6"/>
        <v>High above</v>
      </c>
      <c r="J104" t="str">
        <f t="shared" si="7"/>
        <v>Average</v>
      </c>
    </row>
    <row r="105" spans="1:10" x14ac:dyDescent="0.35">
      <c r="A105" t="s">
        <v>301</v>
      </c>
      <c r="B105" s="4">
        <v>1875</v>
      </c>
      <c r="C105" s="4">
        <v>1899</v>
      </c>
      <c r="D105" s="1">
        <v>0.01</v>
      </c>
      <c r="E105" s="4">
        <v>0</v>
      </c>
      <c r="G105" s="3">
        <f t="shared" si="4"/>
        <v>24</v>
      </c>
      <c r="H105" t="str">
        <f t="shared" si="5"/>
        <v>below</v>
      </c>
      <c r="I105" t="str">
        <f t="shared" si="6"/>
        <v>Low below</v>
      </c>
      <c r="J105" t="str">
        <f t="shared" si="7"/>
        <v>Average</v>
      </c>
    </row>
    <row r="106" spans="1:10" x14ac:dyDescent="0.35">
      <c r="A106" t="s">
        <v>304</v>
      </c>
      <c r="B106" s="4">
        <v>198</v>
      </c>
      <c r="C106" s="4">
        <v>260</v>
      </c>
      <c r="D106" s="1">
        <v>0.24</v>
      </c>
      <c r="E106" s="4">
        <v>0</v>
      </c>
      <c r="G106" s="3">
        <f t="shared" si="4"/>
        <v>62</v>
      </c>
      <c r="H106" t="str">
        <f t="shared" si="5"/>
        <v>below</v>
      </c>
      <c r="I106" t="str">
        <f t="shared" si="6"/>
        <v>Medium</v>
      </c>
      <c r="J106" t="str">
        <f t="shared" si="7"/>
        <v>Cheap</v>
      </c>
    </row>
    <row r="107" spans="1:10" x14ac:dyDescent="0.35">
      <c r="A107" t="s">
        <v>307</v>
      </c>
      <c r="B107" s="4">
        <v>1150</v>
      </c>
      <c r="C107" s="4">
        <v>1737</v>
      </c>
      <c r="D107" s="1">
        <v>0.34</v>
      </c>
      <c r="E107" s="4">
        <v>0</v>
      </c>
      <c r="G107" s="3">
        <f t="shared" si="4"/>
        <v>587</v>
      </c>
      <c r="H107" t="str">
        <f t="shared" si="5"/>
        <v>below</v>
      </c>
      <c r="I107" t="str">
        <f t="shared" si="6"/>
        <v>Medium</v>
      </c>
      <c r="J107" t="str">
        <f t="shared" si="7"/>
        <v>Average</v>
      </c>
    </row>
    <row r="108" spans="1:10" x14ac:dyDescent="0.35">
      <c r="A108" t="s">
        <v>310</v>
      </c>
      <c r="B108" s="4">
        <v>1190</v>
      </c>
      <c r="C108" s="4">
        <v>1810</v>
      </c>
      <c r="D108" s="1">
        <v>0.34</v>
      </c>
      <c r="E108" s="4">
        <v>0</v>
      </c>
      <c r="G108" s="3">
        <f t="shared" si="4"/>
        <v>620</v>
      </c>
      <c r="H108" t="str">
        <f t="shared" si="5"/>
        <v>below</v>
      </c>
      <c r="I108" t="str">
        <f t="shared" si="6"/>
        <v>Medium</v>
      </c>
      <c r="J108" t="str">
        <f t="shared" si="7"/>
        <v>Average</v>
      </c>
    </row>
    <row r="109" spans="1:10" x14ac:dyDescent="0.35">
      <c r="A109" t="s">
        <v>312</v>
      </c>
      <c r="B109" s="4">
        <v>1658</v>
      </c>
      <c r="C109" s="4">
        <v>1699</v>
      </c>
      <c r="D109" s="1">
        <v>0.02</v>
      </c>
      <c r="E109" s="4">
        <v>0</v>
      </c>
      <c r="G109" s="3">
        <f t="shared" si="4"/>
        <v>41</v>
      </c>
      <c r="H109" t="str">
        <f t="shared" si="5"/>
        <v>below</v>
      </c>
      <c r="I109" t="str">
        <f t="shared" si="6"/>
        <v>Low below</v>
      </c>
      <c r="J109" t="str">
        <f t="shared" si="7"/>
        <v>Average</v>
      </c>
    </row>
    <row r="110" spans="1:10" x14ac:dyDescent="0.35">
      <c r="A110" t="s">
        <v>314</v>
      </c>
      <c r="B110" s="4">
        <v>1768</v>
      </c>
      <c r="C110" s="4">
        <v>1799</v>
      </c>
      <c r="D110" s="1">
        <v>0.02</v>
      </c>
      <c r="E110" s="4">
        <v>0</v>
      </c>
      <c r="G110" s="3">
        <f t="shared" si="4"/>
        <v>31</v>
      </c>
      <c r="H110" t="str">
        <f t="shared" si="5"/>
        <v>below</v>
      </c>
      <c r="I110" t="str">
        <f t="shared" si="6"/>
        <v>Low below</v>
      </c>
      <c r="J110" t="str">
        <f t="shared" si="7"/>
        <v>Average</v>
      </c>
    </row>
    <row r="111" spans="1:10" x14ac:dyDescent="0.35">
      <c r="A111" t="s">
        <v>316</v>
      </c>
      <c r="B111" s="4">
        <v>199</v>
      </c>
      <c r="C111" s="4">
        <v>553</v>
      </c>
      <c r="D111" s="1">
        <v>0.64</v>
      </c>
      <c r="E111" s="4">
        <v>0</v>
      </c>
      <c r="G111" s="3">
        <f t="shared" si="4"/>
        <v>354</v>
      </c>
      <c r="H111" t="str">
        <f t="shared" si="5"/>
        <v>below</v>
      </c>
      <c r="I111" t="str">
        <f t="shared" si="6"/>
        <v>High above</v>
      </c>
      <c r="J111" t="str">
        <f t="shared" si="7"/>
        <v>Cheap</v>
      </c>
    </row>
    <row r="112" spans="1:10" x14ac:dyDescent="0.35">
      <c r="A112" t="s">
        <v>318</v>
      </c>
      <c r="B112" s="4">
        <v>450</v>
      </c>
      <c r="C112" s="4">
        <v>900</v>
      </c>
      <c r="D112" s="1">
        <v>0.5</v>
      </c>
      <c r="E112" s="4">
        <v>1</v>
      </c>
      <c r="F112" s="3">
        <v>2</v>
      </c>
      <c r="G112" s="3">
        <f t="shared" si="4"/>
        <v>450</v>
      </c>
      <c r="H112" t="str">
        <f t="shared" si="5"/>
        <v>below</v>
      </c>
      <c r="I112" t="str">
        <f t="shared" si="6"/>
        <v>High above</v>
      </c>
      <c r="J112" t="str">
        <f t="shared" si="7"/>
        <v>Cheap</v>
      </c>
    </row>
    <row r="113" spans="1:10" x14ac:dyDescent="0.35">
      <c r="A113" t="s">
        <v>320</v>
      </c>
      <c r="B113" s="4">
        <v>169</v>
      </c>
      <c r="C113" s="4">
        <v>320</v>
      </c>
      <c r="D113" s="1">
        <v>0.47</v>
      </c>
      <c r="E113" s="4">
        <v>0</v>
      </c>
      <c r="G113" s="3">
        <f t="shared" si="4"/>
        <v>151</v>
      </c>
      <c r="H113" t="str">
        <f t="shared" si="5"/>
        <v>below</v>
      </c>
      <c r="I113" t="str">
        <f t="shared" si="6"/>
        <v>High above</v>
      </c>
      <c r="J113" t="str">
        <f t="shared" si="7"/>
        <v>Cheap</v>
      </c>
    </row>
    <row r="114" spans="1:10" x14ac:dyDescent="0.35">
      <c r="E114"/>
      <c r="F114"/>
    </row>
    <row r="115" spans="1:10" x14ac:dyDescent="0.35">
      <c r="E115"/>
      <c r="F115"/>
    </row>
    <row r="116" spans="1:10" x14ac:dyDescent="0.35">
      <c r="E116"/>
      <c r="F11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4D539-B8C2-4EAC-9449-33F351E6FFA4}">
  <dimension ref="A1:E53"/>
  <sheetViews>
    <sheetView zoomScale="83" zoomScaleNormal="83" workbookViewId="0">
      <selection activeCell="F18" sqref="F18"/>
    </sheetView>
  </sheetViews>
  <sheetFormatPr defaultRowHeight="14.5" x14ac:dyDescent="0.35"/>
  <cols>
    <col min="1" max="1" width="10.90625" bestFit="1" customWidth="1"/>
    <col min="2" max="2" width="13.36328125" bestFit="1" customWidth="1"/>
    <col min="3" max="3" width="13.90625" bestFit="1" customWidth="1"/>
    <col min="4" max="4" width="64.453125" bestFit="1" customWidth="1"/>
    <col min="5" max="5" width="13.90625" bestFit="1" customWidth="1"/>
    <col min="6" max="6" width="13.36328125" bestFit="1" customWidth="1"/>
    <col min="7" max="7" width="14.453125" bestFit="1" customWidth="1"/>
    <col min="8" max="8" width="13.90625" bestFit="1" customWidth="1"/>
    <col min="9" max="9" width="15.26953125" bestFit="1" customWidth="1"/>
    <col min="10" max="10" width="89.1796875" bestFit="1" customWidth="1"/>
    <col min="11" max="11" width="13.90625" bestFit="1" customWidth="1"/>
  </cols>
  <sheetData>
    <row r="1" spans="1:5" x14ac:dyDescent="0.35">
      <c r="A1" t="s">
        <v>329</v>
      </c>
      <c r="B1" t="s">
        <v>330</v>
      </c>
      <c r="C1" t="s">
        <v>332</v>
      </c>
      <c r="D1" t="s">
        <v>333</v>
      </c>
      <c r="E1" t="s">
        <v>334</v>
      </c>
    </row>
    <row r="2" spans="1:5" x14ac:dyDescent="0.35">
      <c r="A2" s="4">
        <v>1186.8928571428571</v>
      </c>
      <c r="B2" s="1">
        <v>0.36776785714285715</v>
      </c>
      <c r="C2" s="2">
        <v>3.8894736842105258</v>
      </c>
      <c r="D2">
        <v>112</v>
      </c>
      <c r="E2" s="4">
        <v>723</v>
      </c>
    </row>
    <row r="3" spans="1:5" x14ac:dyDescent="0.35">
      <c r="A3" t="s">
        <v>341</v>
      </c>
      <c r="D3" s="6" t="s">
        <v>327</v>
      </c>
      <c r="E3" t="s">
        <v>333</v>
      </c>
    </row>
    <row r="4" spans="1:5" x14ac:dyDescent="0.35">
      <c r="A4" s="6" t="s">
        <v>0</v>
      </c>
      <c r="B4" t="s">
        <v>328</v>
      </c>
      <c r="D4" t="s">
        <v>344</v>
      </c>
      <c r="E4" s="3">
        <v>17</v>
      </c>
    </row>
    <row r="5" spans="1:5" x14ac:dyDescent="0.35">
      <c r="A5" t="s">
        <v>212</v>
      </c>
      <c r="B5" s="4">
        <v>3750</v>
      </c>
      <c r="D5" t="s">
        <v>343</v>
      </c>
      <c r="E5" s="3">
        <v>57</v>
      </c>
    </row>
    <row r="6" spans="1:5" x14ac:dyDescent="0.35">
      <c r="D6" t="s">
        <v>338</v>
      </c>
      <c r="E6" s="3">
        <v>38</v>
      </c>
    </row>
    <row r="7" spans="1:5" x14ac:dyDescent="0.35">
      <c r="A7" t="s">
        <v>342</v>
      </c>
    </row>
    <row r="8" spans="1:5" x14ac:dyDescent="0.35">
      <c r="A8" s="6" t="s">
        <v>0</v>
      </c>
      <c r="B8" t="s">
        <v>328</v>
      </c>
      <c r="D8" s="6" t="s">
        <v>325</v>
      </c>
      <c r="E8" t="s">
        <v>333</v>
      </c>
    </row>
    <row r="9" spans="1:5" x14ac:dyDescent="0.35">
      <c r="A9" t="s">
        <v>71</v>
      </c>
      <c r="B9" s="4">
        <v>38</v>
      </c>
      <c r="D9" t="s">
        <v>339</v>
      </c>
      <c r="E9" s="4">
        <v>67</v>
      </c>
    </row>
    <row r="10" spans="1:5" x14ac:dyDescent="0.35">
      <c r="D10" t="s">
        <v>340</v>
      </c>
      <c r="E10" s="4">
        <v>23</v>
      </c>
    </row>
    <row r="11" spans="1:5" x14ac:dyDescent="0.35">
      <c r="D11" t="s">
        <v>338</v>
      </c>
      <c r="E11" s="4">
        <v>22</v>
      </c>
    </row>
    <row r="14" spans="1:5" x14ac:dyDescent="0.35">
      <c r="D14" s="6" t="s">
        <v>326</v>
      </c>
      <c r="E14" t="s">
        <v>333</v>
      </c>
    </row>
    <row r="15" spans="1:5" x14ac:dyDescent="0.35">
      <c r="D15" t="s">
        <v>335</v>
      </c>
      <c r="E15" s="3">
        <v>62</v>
      </c>
    </row>
    <row r="16" spans="1:5" x14ac:dyDescent="0.35">
      <c r="D16" t="s">
        <v>336</v>
      </c>
      <c r="E16" s="3">
        <v>18</v>
      </c>
    </row>
    <row r="17" spans="4:5" x14ac:dyDescent="0.35">
      <c r="D17" t="s">
        <v>337</v>
      </c>
      <c r="E17" s="3">
        <v>32</v>
      </c>
    </row>
    <row r="19" spans="4:5" x14ac:dyDescent="0.35">
      <c r="D19" s="6" t="s">
        <v>0</v>
      </c>
      <c r="E19" t="s">
        <v>330</v>
      </c>
    </row>
    <row r="20" spans="4:5" x14ac:dyDescent="0.35">
      <c r="D20" t="s">
        <v>316</v>
      </c>
      <c r="E20" s="1">
        <v>0.64</v>
      </c>
    </row>
    <row r="21" spans="4:5" x14ac:dyDescent="0.35">
      <c r="D21" t="s">
        <v>190</v>
      </c>
      <c r="E21" s="1">
        <v>0.55000000000000004</v>
      </c>
    </row>
    <row r="22" spans="4:5" x14ac:dyDescent="0.35">
      <c r="D22" t="s">
        <v>154</v>
      </c>
      <c r="E22" s="1">
        <v>0.55000000000000004</v>
      </c>
    </row>
    <row r="23" spans="4:5" x14ac:dyDescent="0.35">
      <c r="D23" t="s">
        <v>35</v>
      </c>
      <c r="E23" s="1">
        <v>0.55000000000000004</v>
      </c>
    </row>
    <row r="24" spans="4:5" x14ac:dyDescent="0.35">
      <c r="D24" t="s">
        <v>85</v>
      </c>
      <c r="E24" s="1">
        <v>0.54</v>
      </c>
    </row>
    <row r="25" spans="4:5" x14ac:dyDescent="0.35">
      <c r="D25" t="s">
        <v>186</v>
      </c>
      <c r="E25" s="1">
        <v>0.54</v>
      </c>
    </row>
    <row r="26" spans="4:5" x14ac:dyDescent="0.35">
      <c r="D26" t="s">
        <v>120</v>
      </c>
      <c r="E26" s="1">
        <v>0.53</v>
      </c>
    </row>
    <row r="27" spans="4:5" x14ac:dyDescent="0.35">
      <c r="D27" t="s">
        <v>71</v>
      </c>
      <c r="E27" s="1">
        <v>0.53</v>
      </c>
    </row>
    <row r="28" spans="4:5" x14ac:dyDescent="0.35">
      <c r="D28" t="s">
        <v>198</v>
      </c>
      <c r="E28" s="1">
        <v>0.52</v>
      </c>
    </row>
    <row r="29" spans="4:5" x14ac:dyDescent="0.35">
      <c r="D29" t="s">
        <v>102</v>
      </c>
      <c r="E29" s="1">
        <v>0.52</v>
      </c>
    </row>
    <row r="31" spans="4:5" x14ac:dyDescent="0.35">
      <c r="D31" s="6" t="s">
        <v>0</v>
      </c>
      <c r="E31" t="s">
        <v>334</v>
      </c>
    </row>
    <row r="32" spans="4:5" x14ac:dyDescent="0.35">
      <c r="D32" t="s">
        <v>194</v>
      </c>
      <c r="E32" s="4">
        <v>69</v>
      </c>
    </row>
    <row r="33" spans="4:5" x14ac:dyDescent="0.35">
      <c r="D33" t="s">
        <v>30</v>
      </c>
      <c r="E33" s="4">
        <v>55</v>
      </c>
    </row>
    <row r="34" spans="4:5" x14ac:dyDescent="0.35">
      <c r="D34" t="s">
        <v>89</v>
      </c>
      <c r="E34" s="4">
        <v>49</v>
      </c>
    </row>
    <row r="35" spans="4:5" x14ac:dyDescent="0.35">
      <c r="D35" t="s">
        <v>68</v>
      </c>
      <c r="E35" s="4">
        <v>44</v>
      </c>
    </row>
    <row r="36" spans="4:5" x14ac:dyDescent="0.35">
      <c r="D36" t="s">
        <v>44</v>
      </c>
      <c r="E36" s="4">
        <v>39</v>
      </c>
    </row>
    <row r="37" spans="4:5" x14ac:dyDescent="0.35">
      <c r="D37" t="s">
        <v>122</v>
      </c>
      <c r="E37" s="4">
        <v>36</v>
      </c>
    </row>
    <row r="38" spans="4:5" x14ac:dyDescent="0.35">
      <c r="D38" t="s">
        <v>114</v>
      </c>
      <c r="E38" s="4">
        <v>32</v>
      </c>
    </row>
    <row r="39" spans="4:5" x14ac:dyDescent="0.35">
      <c r="D39" t="s">
        <v>14</v>
      </c>
      <c r="E39" s="4">
        <v>24</v>
      </c>
    </row>
    <row r="40" spans="4:5" x14ac:dyDescent="0.35">
      <c r="D40" t="s">
        <v>111</v>
      </c>
      <c r="E40" s="4">
        <v>20</v>
      </c>
    </row>
    <row r="41" spans="4:5" x14ac:dyDescent="0.35">
      <c r="D41" t="s">
        <v>97</v>
      </c>
      <c r="E41" s="4">
        <v>20</v>
      </c>
    </row>
    <row r="43" spans="4:5" x14ac:dyDescent="0.35">
      <c r="D43" s="6" t="s">
        <v>0</v>
      </c>
      <c r="E43" t="s">
        <v>331</v>
      </c>
    </row>
    <row r="44" spans="4:5" x14ac:dyDescent="0.35">
      <c r="D44" t="s">
        <v>120</v>
      </c>
      <c r="E44" s="3">
        <v>5</v>
      </c>
    </row>
    <row r="45" spans="4:5" x14ac:dyDescent="0.35">
      <c r="D45" t="s">
        <v>63</v>
      </c>
      <c r="E45" s="3">
        <v>5</v>
      </c>
    </row>
    <row r="46" spans="4:5" x14ac:dyDescent="0.35">
      <c r="D46" t="s">
        <v>295</v>
      </c>
      <c r="E46" s="3">
        <v>5</v>
      </c>
    </row>
    <row r="47" spans="4:5" x14ac:dyDescent="0.35">
      <c r="D47" t="s">
        <v>56</v>
      </c>
      <c r="E47" s="3">
        <v>5</v>
      </c>
    </row>
    <row r="48" spans="4:5" x14ac:dyDescent="0.35">
      <c r="D48" t="s">
        <v>60</v>
      </c>
      <c r="E48" s="3">
        <v>5</v>
      </c>
    </row>
    <row r="49" spans="4:5" x14ac:dyDescent="0.35">
      <c r="D49" t="s">
        <v>245</v>
      </c>
      <c r="E49" s="3">
        <v>5</v>
      </c>
    </row>
    <row r="50" spans="4:5" x14ac:dyDescent="0.35">
      <c r="D50" t="s">
        <v>117</v>
      </c>
      <c r="E50" s="3">
        <v>5</v>
      </c>
    </row>
    <row r="51" spans="4:5" x14ac:dyDescent="0.35">
      <c r="D51" t="s">
        <v>35</v>
      </c>
      <c r="E51" s="3">
        <v>4.8</v>
      </c>
    </row>
    <row r="52" spans="4:5" x14ac:dyDescent="0.35">
      <c r="D52" t="s">
        <v>22</v>
      </c>
      <c r="E52" s="3">
        <v>4.8</v>
      </c>
    </row>
    <row r="53" spans="4:5" x14ac:dyDescent="0.35">
      <c r="D53" t="s">
        <v>47</v>
      </c>
      <c r="E53" s="3">
        <v>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648C-DE47-42BC-A370-81D2187F9E43}">
  <dimension ref="A1:U64"/>
  <sheetViews>
    <sheetView showGridLines="0" tabSelected="1" zoomScale="86" zoomScaleNormal="86" workbookViewId="0">
      <selection activeCell="V55" sqref="V55"/>
    </sheetView>
  </sheetViews>
  <sheetFormatPr defaultRowHeight="14.5" x14ac:dyDescent="0.35"/>
  <cols>
    <col min="2" max="2" width="11.08984375" customWidth="1"/>
    <col min="24" max="25" width="8.7265625" customWidth="1"/>
  </cols>
  <sheetData>
    <row r="1" spans="1:21" x14ac:dyDescent="0.35">
      <c r="A1" s="7"/>
      <c r="B1" s="7"/>
      <c r="C1" s="7"/>
      <c r="D1" s="7"/>
      <c r="E1" s="7"/>
      <c r="F1" s="7"/>
      <c r="G1" s="7"/>
      <c r="H1" s="7"/>
      <c r="I1" s="7"/>
      <c r="J1" s="7"/>
      <c r="K1" s="7"/>
      <c r="L1" s="7"/>
      <c r="M1" s="7"/>
      <c r="N1" s="7"/>
      <c r="O1" s="7"/>
      <c r="P1" s="7"/>
      <c r="Q1" s="7"/>
      <c r="R1" s="7"/>
      <c r="S1" s="7"/>
      <c r="T1" s="7"/>
      <c r="U1" s="7"/>
    </row>
    <row r="2" spans="1:21" x14ac:dyDescent="0.35">
      <c r="A2" s="7"/>
      <c r="B2" s="7"/>
      <c r="C2" s="7"/>
      <c r="D2" s="7"/>
      <c r="E2" s="7"/>
      <c r="F2" s="7"/>
      <c r="G2" s="7"/>
      <c r="H2" s="7"/>
      <c r="I2" s="7"/>
      <c r="J2" s="7"/>
      <c r="K2" s="7"/>
      <c r="L2" s="7"/>
      <c r="M2" s="7"/>
      <c r="N2" s="7"/>
      <c r="O2" s="7"/>
      <c r="P2" s="7"/>
      <c r="Q2" s="7"/>
      <c r="R2" s="7"/>
      <c r="S2" s="7"/>
      <c r="T2" s="7"/>
      <c r="U2" s="7"/>
    </row>
    <row r="3" spans="1:21" x14ac:dyDescent="0.35">
      <c r="A3" s="7"/>
      <c r="B3" s="7"/>
      <c r="C3" s="7"/>
      <c r="D3" s="7"/>
      <c r="E3" s="7"/>
      <c r="F3" s="7"/>
      <c r="G3" s="7"/>
      <c r="H3" s="7"/>
      <c r="I3" s="7"/>
      <c r="J3" s="7"/>
      <c r="K3" s="7"/>
      <c r="L3" s="7"/>
      <c r="M3" s="7"/>
      <c r="N3" s="7"/>
      <c r="O3" s="7"/>
      <c r="P3" s="7"/>
      <c r="Q3" s="7"/>
      <c r="R3" s="7"/>
      <c r="S3" s="7"/>
      <c r="T3" s="7"/>
      <c r="U3" s="7"/>
    </row>
    <row r="4" spans="1:21" x14ac:dyDescent="0.35">
      <c r="A4" s="7"/>
      <c r="B4" s="7"/>
      <c r="C4" s="7"/>
      <c r="D4" s="7"/>
      <c r="E4" s="7"/>
      <c r="F4" s="7"/>
      <c r="G4" s="7"/>
      <c r="H4" s="7"/>
      <c r="I4" s="7"/>
      <c r="J4" s="7"/>
      <c r="K4" s="7"/>
      <c r="L4" s="7"/>
      <c r="M4" s="7"/>
      <c r="N4" s="7"/>
      <c r="O4" s="7"/>
      <c r="P4" s="7"/>
      <c r="Q4" s="7"/>
      <c r="R4" s="7"/>
      <c r="S4" s="7"/>
      <c r="T4" s="7"/>
      <c r="U4" s="7"/>
    </row>
    <row r="5" spans="1:21" x14ac:dyDescent="0.35">
      <c r="A5" s="7"/>
      <c r="B5" s="7"/>
      <c r="C5" s="7"/>
      <c r="D5" s="7"/>
      <c r="E5" s="7"/>
      <c r="F5" s="7"/>
      <c r="G5" s="7"/>
      <c r="H5" s="7"/>
      <c r="I5" s="7"/>
      <c r="J5" s="7"/>
      <c r="K5" s="7"/>
      <c r="L5" s="7"/>
      <c r="M5" s="7"/>
      <c r="N5" s="7"/>
      <c r="O5" s="7"/>
      <c r="P5" s="7"/>
      <c r="Q5" s="7"/>
      <c r="R5" s="7"/>
      <c r="S5" s="7"/>
      <c r="T5" s="7"/>
      <c r="U5" s="7"/>
    </row>
    <row r="6" spans="1:21" x14ac:dyDescent="0.35">
      <c r="A6" s="7"/>
      <c r="B6" s="7"/>
      <c r="C6" s="7"/>
      <c r="D6" s="7"/>
      <c r="E6" s="7"/>
      <c r="F6" s="7"/>
      <c r="G6" s="7"/>
      <c r="H6" s="7"/>
      <c r="I6" s="7"/>
      <c r="J6" s="7"/>
      <c r="K6" s="7"/>
      <c r="L6" s="7"/>
      <c r="M6" s="7"/>
      <c r="N6" s="7"/>
      <c r="O6" s="7"/>
      <c r="P6" s="7"/>
      <c r="Q6" s="7"/>
      <c r="R6" s="7"/>
      <c r="S6" s="7"/>
      <c r="T6" s="7"/>
      <c r="U6" s="7"/>
    </row>
    <row r="7" spans="1:21" x14ac:dyDescent="0.35">
      <c r="A7" s="7"/>
      <c r="B7" s="7"/>
      <c r="C7" s="7"/>
      <c r="D7" s="7"/>
      <c r="E7" s="7"/>
      <c r="F7" s="7"/>
      <c r="G7" s="7"/>
      <c r="H7" s="7"/>
      <c r="I7" s="7"/>
      <c r="J7" s="7"/>
      <c r="K7" s="7"/>
      <c r="L7" s="7"/>
      <c r="M7" s="7"/>
      <c r="N7" s="7"/>
      <c r="O7" s="7"/>
      <c r="P7" s="7"/>
      <c r="Q7" s="7"/>
      <c r="R7" s="7"/>
      <c r="S7" s="7"/>
      <c r="T7" s="7"/>
      <c r="U7" s="7"/>
    </row>
    <row r="8" spans="1:21" x14ac:dyDescent="0.35">
      <c r="A8" s="7"/>
      <c r="B8" s="7"/>
      <c r="C8" s="7"/>
      <c r="D8" s="7"/>
      <c r="E8" s="7"/>
      <c r="F8" s="7"/>
      <c r="G8" s="7"/>
      <c r="H8" s="7"/>
      <c r="I8" s="7"/>
      <c r="J8" s="7"/>
      <c r="K8" s="7"/>
      <c r="L8" s="7"/>
      <c r="M8" s="7"/>
      <c r="N8" s="7"/>
      <c r="O8" s="7"/>
      <c r="P8" s="7"/>
      <c r="Q8" s="7"/>
      <c r="R8" s="7"/>
      <c r="S8" s="7"/>
      <c r="T8" s="7"/>
      <c r="U8" s="7"/>
    </row>
    <row r="9" spans="1:21" x14ac:dyDescent="0.35">
      <c r="A9" s="7"/>
      <c r="B9" s="7"/>
      <c r="C9" s="7"/>
      <c r="D9" s="7"/>
      <c r="E9" s="7"/>
      <c r="F9" s="7"/>
      <c r="G9" s="7"/>
      <c r="H9" s="7"/>
      <c r="I9" s="7"/>
      <c r="J9" s="7"/>
      <c r="K9" s="7"/>
      <c r="L9" s="7"/>
      <c r="M9" s="7"/>
      <c r="N9" s="7"/>
      <c r="O9" s="7"/>
      <c r="P9" s="7"/>
      <c r="Q9" s="7"/>
      <c r="R9" s="7"/>
      <c r="S9" s="7"/>
      <c r="T9" s="7"/>
      <c r="U9" s="7"/>
    </row>
    <row r="10" spans="1:21" x14ac:dyDescent="0.35">
      <c r="A10" s="7"/>
      <c r="B10" s="7"/>
      <c r="C10" s="7"/>
      <c r="D10" s="7"/>
      <c r="E10" s="7"/>
      <c r="F10" s="7"/>
      <c r="G10" s="7"/>
      <c r="H10" s="7"/>
      <c r="I10" s="7"/>
      <c r="J10" s="7"/>
      <c r="K10" s="7"/>
      <c r="L10" s="7"/>
      <c r="M10" s="7"/>
      <c r="N10" s="7"/>
      <c r="O10" s="7"/>
      <c r="P10" s="7"/>
      <c r="Q10" s="7"/>
      <c r="R10" s="7"/>
      <c r="S10" s="7"/>
      <c r="T10" s="7"/>
      <c r="U10" s="7"/>
    </row>
    <row r="11" spans="1:21" x14ac:dyDescent="0.35">
      <c r="A11" s="7"/>
      <c r="B11" s="7"/>
      <c r="C11" s="7"/>
      <c r="D11" s="7"/>
      <c r="E11" s="7"/>
      <c r="F11" s="7"/>
      <c r="G11" s="7"/>
      <c r="H11" s="7"/>
      <c r="I11" s="7"/>
      <c r="J11" s="7"/>
      <c r="K11" s="7"/>
      <c r="L11" s="7"/>
      <c r="M11" s="7"/>
      <c r="N11" s="7"/>
      <c r="O11" s="7"/>
      <c r="P11" s="7"/>
      <c r="Q11" s="7"/>
      <c r="R11" s="7"/>
      <c r="S11" s="7"/>
      <c r="T11" s="7"/>
      <c r="U11" s="7"/>
    </row>
    <row r="12" spans="1:21" x14ac:dyDescent="0.35">
      <c r="A12" s="7"/>
      <c r="B12" s="7"/>
      <c r="C12" s="7"/>
      <c r="D12" s="7"/>
      <c r="E12" s="7"/>
      <c r="F12" s="7"/>
      <c r="G12" s="7"/>
      <c r="H12" s="7"/>
      <c r="I12" s="7"/>
      <c r="J12" s="7"/>
      <c r="K12" s="7"/>
      <c r="L12" s="7"/>
      <c r="M12" s="7"/>
      <c r="N12" s="7"/>
      <c r="O12" s="7"/>
      <c r="P12" s="7"/>
      <c r="Q12" s="7"/>
      <c r="R12" s="7"/>
      <c r="S12" s="7"/>
      <c r="T12" s="7"/>
      <c r="U12" s="7"/>
    </row>
    <row r="13" spans="1:21" x14ac:dyDescent="0.35">
      <c r="A13" s="7"/>
      <c r="B13" s="7"/>
      <c r="C13" s="7"/>
      <c r="D13" s="7"/>
      <c r="E13" s="7"/>
      <c r="F13" s="7"/>
      <c r="G13" s="7"/>
      <c r="H13" s="7"/>
      <c r="I13" s="7"/>
      <c r="J13" s="7"/>
      <c r="K13" s="7"/>
      <c r="L13" s="7"/>
      <c r="M13" s="7"/>
      <c r="N13" s="7"/>
      <c r="O13" s="7"/>
      <c r="P13" s="7"/>
      <c r="Q13" s="7"/>
      <c r="R13" s="7"/>
      <c r="S13" s="7"/>
      <c r="T13" s="7"/>
      <c r="U13" s="7"/>
    </row>
    <row r="14" spans="1:21" x14ac:dyDescent="0.35">
      <c r="A14" s="7"/>
      <c r="B14" s="7"/>
      <c r="C14" s="7"/>
      <c r="D14" s="7"/>
      <c r="E14" s="7"/>
      <c r="F14" s="7"/>
      <c r="G14" s="7"/>
      <c r="H14" s="7"/>
      <c r="I14" s="7"/>
      <c r="J14" s="7"/>
      <c r="K14" s="7"/>
      <c r="L14" s="7"/>
      <c r="M14" s="7"/>
      <c r="N14" s="7"/>
      <c r="O14" s="7"/>
      <c r="P14" s="7"/>
      <c r="Q14" s="7"/>
      <c r="R14" s="7"/>
      <c r="S14" s="7"/>
      <c r="T14" s="7"/>
      <c r="U14" s="7"/>
    </row>
    <row r="15" spans="1:21" x14ac:dyDescent="0.35">
      <c r="A15" s="7"/>
      <c r="B15" s="7"/>
      <c r="C15" s="7"/>
      <c r="D15" s="7"/>
      <c r="E15" s="7"/>
      <c r="F15" s="7"/>
      <c r="G15" s="7"/>
      <c r="H15" s="7"/>
      <c r="I15" s="7"/>
      <c r="J15" s="7"/>
      <c r="K15" s="7"/>
      <c r="L15" s="7"/>
      <c r="M15" s="7"/>
      <c r="N15" s="7"/>
      <c r="O15" s="7"/>
      <c r="P15" s="7"/>
      <c r="Q15" s="7"/>
      <c r="R15" s="7"/>
      <c r="S15" s="7"/>
      <c r="T15" s="7"/>
      <c r="U15" s="7"/>
    </row>
    <row r="16" spans="1:21" x14ac:dyDescent="0.35">
      <c r="A16" s="7"/>
      <c r="B16" s="7"/>
      <c r="C16" s="7"/>
      <c r="D16" s="7"/>
      <c r="E16" s="7"/>
      <c r="F16" s="7"/>
      <c r="G16" s="7"/>
      <c r="H16" s="7"/>
      <c r="I16" s="7"/>
      <c r="J16" s="7"/>
      <c r="K16" s="7"/>
      <c r="L16" s="7"/>
      <c r="M16" s="7"/>
      <c r="N16" s="7"/>
      <c r="O16" s="7"/>
      <c r="P16" s="7"/>
      <c r="Q16" s="7"/>
      <c r="R16" s="7"/>
      <c r="S16" s="7"/>
      <c r="T16" s="7"/>
      <c r="U16" s="7"/>
    </row>
    <row r="17" spans="1:21" x14ac:dyDescent="0.35">
      <c r="A17" s="7"/>
      <c r="B17" s="7"/>
      <c r="C17" s="7"/>
      <c r="D17" s="7"/>
      <c r="E17" s="7"/>
      <c r="F17" s="7"/>
      <c r="G17" s="7"/>
      <c r="H17" s="7"/>
      <c r="I17" s="7"/>
      <c r="J17" s="7"/>
      <c r="K17" s="7"/>
      <c r="L17" s="7"/>
      <c r="M17" s="7"/>
      <c r="N17" s="7"/>
      <c r="O17" s="7"/>
      <c r="P17" s="7"/>
      <c r="Q17" s="7"/>
      <c r="R17" s="7"/>
      <c r="S17" s="7"/>
      <c r="T17" s="7"/>
      <c r="U17" s="7"/>
    </row>
    <row r="18" spans="1:21" x14ac:dyDescent="0.35">
      <c r="A18" s="7"/>
      <c r="B18" s="7"/>
      <c r="C18" s="7"/>
      <c r="D18" s="7"/>
      <c r="E18" s="7"/>
      <c r="F18" s="7"/>
      <c r="G18" s="7"/>
      <c r="H18" s="7"/>
      <c r="I18" s="7"/>
      <c r="J18" s="7"/>
      <c r="K18" s="7"/>
      <c r="L18" s="7"/>
      <c r="M18" s="7"/>
      <c r="N18" s="7"/>
      <c r="O18" s="7"/>
      <c r="P18" s="7"/>
      <c r="Q18" s="7"/>
      <c r="R18" s="7"/>
      <c r="S18" s="7"/>
      <c r="T18" s="7"/>
      <c r="U18" s="7"/>
    </row>
    <row r="19" spans="1:21" x14ac:dyDescent="0.35">
      <c r="A19" s="7"/>
      <c r="B19" s="7"/>
      <c r="C19" s="7"/>
      <c r="D19" s="7"/>
      <c r="E19" s="7"/>
      <c r="F19" s="7"/>
      <c r="G19" s="7"/>
      <c r="H19" s="7"/>
      <c r="I19" s="7"/>
      <c r="J19" s="7"/>
      <c r="K19" s="7"/>
      <c r="L19" s="7"/>
      <c r="M19" s="7"/>
      <c r="N19" s="7"/>
      <c r="O19" s="7"/>
      <c r="P19" s="7"/>
      <c r="Q19" s="7"/>
      <c r="R19" s="7"/>
      <c r="S19" s="7"/>
      <c r="T19" s="7"/>
      <c r="U19" s="7"/>
    </row>
    <row r="20" spans="1:21" x14ac:dyDescent="0.35">
      <c r="A20" s="7"/>
      <c r="B20" s="7"/>
      <c r="C20" s="7"/>
      <c r="D20" s="7"/>
      <c r="E20" s="7"/>
      <c r="F20" s="7"/>
      <c r="G20" s="7"/>
      <c r="H20" s="7"/>
      <c r="I20" s="7"/>
      <c r="J20" s="7"/>
      <c r="K20" s="7"/>
      <c r="L20" s="7"/>
      <c r="M20" s="7"/>
      <c r="N20" s="7"/>
      <c r="O20" s="7"/>
      <c r="P20" s="7"/>
      <c r="Q20" s="7"/>
      <c r="R20" s="7"/>
      <c r="S20" s="7"/>
      <c r="T20" s="7"/>
      <c r="U20" s="7"/>
    </row>
    <row r="21" spans="1:21" x14ac:dyDescent="0.35">
      <c r="A21" s="7"/>
      <c r="B21" s="7"/>
      <c r="C21" s="7"/>
      <c r="D21" s="7"/>
      <c r="E21" s="7"/>
      <c r="F21" s="7"/>
      <c r="G21" s="7"/>
      <c r="H21" s="7"/>
      <c r="I21" s="7"/>
      <c r="J21" s="7"/>
      <c r="K21" s="7"/>
      <c r="L21" s="7"/>
      <c r="M21" s="7"/>
      <c r="N21" s="7"/>
      <c r="O21" s="7"/>
      <c r="P21" s="7"/>
      <c r="Q21" s="7"/>
      <c r="R21" s="7"/>
      <c r="S21" s="7"/>
      <c r="T21" s="7"/>
      <c r="U21" s="7"/>
    </row>
    <row r="22" spans="1:21" x14ac:dyDescent="0.35">
      <c r="A22" s="7"/>
      <c r="B22" s="7"/>
      <c r="C22" s="7"/>
      <c r="D22" s="7"/>
      <c r="E22" s="7"/>
      <c r="F22" s="7"/>
      <c r="G22" s="7"/>
      <c r="H22" s="7"/>
      <c r="I22" s="7"/>
      <c r="J22" s="7"/>
      <c r="K22" s="7"/>
      <c r="L22" s="7"/>
      <c r="M22" s="7"/>
      <c r="N22" s="7"/>
      <c r="O22" s="7"/>
      <c r="P22" s="7"/>
      <c r="Q22" s="7"/>
      <c r="R22" s="7"/>
      <c r="S22" s="7"/>
      <c r="T22" s="7"/>
      <c r="U22" s="7"/>
    </row>
    <row r="23" spans="1:21" x14ac:dyDescent="0.35">
      <c r="A23" s="7"/>
      <c r="B23" s="7"/>
      <c r="C23" s="7"/>
      <c r="D23" s="7"/>
      <c r="E23" s="7"/>
      <c r="F23" s="7"/>
      <c r="G23" s="7"/>
      <c r="H23" s="7"/>
      <c r="I23" s="7"/>
      <c r="J23" s="7"/>
      <c r="K23" s="7"/>
      <c r="L23" s="7"/>
      <c r="M23" s="7"/>
      <c r="N23" s="7"/>
      <c r="O23" s="7"/>
      <c r="P23" s="7"/>
      <c r="Q23" s="7"/>
      <c r="R23" s="7"/>
      <c r="S23" s="7"/>
      <c r="T23" s="7"/>
      <c r="U23" s="7"/>
    </row>
    <row r="24" spans="1:21" x14ac:dyDescent="0.35">
      <c r="A24" s="7"/>
      <c r="B24" s="7"/>
      <c r="C24" s="7"/>
      <c r="D24" s="7"/>
      <c r="E24" s="7"/>
      <c r="F24" s="7"/>
      <c r="G24" s="7"/>
      <c r="H24" s="7"/>
      <c r="I24" s="7"/>
      <c r="J24" s="7"/>
      <c r="K24" s="7"/>
      <c r="L24" s="7"/>
      <c r="M24" s="7"/>
      <c r="N24" s="7"/>
      <c r="O24" s="7"/>
      <c r="P24" s="7"/>
      <c r="Q24" s="7"/>
      <c r="R24" s="7"/>
      <c r="S24" s="7"/>
      <c r="T24" s="7"/>
      <c r="U24" s="7"/>
    </row>
    <row r="25" spans="1:21" x14ac:dyDescent="0.35">
      <c r="A25" s="7"/>
      <c r="B25" s="7"/>
      <c r="C25" s="7"/>
      <c r="D25" s="7"/>
      <c r="E25" s="7"/>
      <c r="F25" s="7"/>
      <c r="G25" s="7"/>
      <c r="H25" s="7"/>
      <c r="I25" s="7"/>
      <c r="J25" s="7"/>
      <c r="K25" s="7"/>
      <c r="L25" s="7"/>
      <c r="M25" s="7"/>
      <c r="N25" s="7"/>
      <c r="O25" s="7"/>
      <c r="P25" s="7"/>
      <c r="Q25" s="7"/>
      <c r="R25" s="7"/>
      <c r="S25" s="7"/>
      <c r="T25" s="7"/>
      <c r="U25" s="7"/>
    </row>
    <row r="26" spans="1:21" x14ac:dyDescent="0.35">
      <c r="A26" s="7"/>
      <c r="B26" s="7"/>
      <c r="C26" s="7"/>
      <c r="D26" s="7"/>
      <c r="E26" s="7"/>
      <c r="F26" s="7"/>
      <c r="G26" s="7"/>
      <c r="H26" s="7"/>
      <c r="I26" s="7"/>
      <c r="J26" s="7"/>
      <c r="K26" s="7"/>
      <c r="L26" s="7"/>
      <c r="M26" s="7"/>
      <c r="N26" s="7"/>
      <c r="O26" s="7"/>
      <c r="P26" s="7"/>
      <c r="Q26" s="7"/>
      <c r="R26" s="7"/>
      <c r="S26" s="7"/>
      <c r="T26" s="7"/>
      <c r="U26" s="7"/>
    </row>
    <row r="27" spans="1:21" x14ac:dyDescent="0.35">
      <c r="A27" s="7"/>
      <c r="B27" s="7"/>
      <c r="C27" s="7"/>
      <c r="D27" s="7"/>
      <c r="E27" s="7"/>
      <c r="F27" s="7"/>
      <c r="G27" s="7"/>
      <c r="H27" s="7"/>
      <c r="I27" s="7"/>
      <c r="J27" s="7"/>
      <c r="K27" s="7"/>
      <c r="L27" s="7"/>
      <c r="M27" s="7"/>
      <c r="N27" s="7"/>
      <c r="O27" s="7"/>
      <c r="P27" s="7"/>
      <c r="Q27" s="7"/>
      <c r="R27" s="7"/>
      <c r="S27" s="7"/>
      <c r="T27" s="7"/>
      <c r="U27" s="7"/>
    </row>
    <row r="28" spans="1:21" x14ac:dyDescent="0.35">
      <c r="A28" s="7"/>
      <c r="B28" s="7"/>
      <c r="C28" s="7"/>
      <c r="D28" s="7"/>
      <c r="E28" s="7"/>
      <c r="F28" s="7"/>
      <c r="G28" s="7"/>
      <c r="H28" s="7"/>
      <c r="I28" s="7"/>
      <c r="J28" s="7"/>
      <c r="K28" s="7"/>
      <c r="L28" s="7"/>
      <c r="M28" s="7"/>
      <c r="N28" s="7"/>
      <c r="O28" s="7"/>
      <c r="P28" s="7"/>
      <c r="Q28" s="7"/>
      <c r="R28" s="7"/>
      <c r="S28" s="7"/>
      <c r="T28" s="7"/>
      <c r="U28" s="7"/>
    </row>
    <row r="29" spans="1:21" x14ac:dyDescent="0.35">
      <c r="A29" s="7"/>
      <c r="B29" s="7"/>
      <c r="C29" s="7"/>
      <c r="D29" s="7"/>
      <c r="E29" s="7"/>
      <c r="F29" s="7"/>
      <c r="G29" s="7"/>
      <c r="H29" s="7"/>
      <c r="I29" s="7"/>
      <c r="J29" s="7"/>
      <c r="K29" s="7"/>
      <c r="L29" s="7"/>
      <c r="M29" s="7"/>
      <c r="N29" s="7"/>
      <c r="O29" s="7"/>
      <c r="P29" s="7"/>
      <c r="Q29" s="7"/>
      <c r="R29" s="7"/>
      <c r="S29" s="7"/>
      <c r="T29" s="7"/>
      <c r="U29" s="7"/>
    </row>
    <row r="30" spans="1:21" x14ac:dyDescent="0.35">
      <c r="A30" s="7"/>
      <c r="B30" s="7"/>
      <c r="C30" s="7"/>
      <c r="D30" s="7"/>
      <c r="E30" s="7"/>
      <c r="F30" s="7"/>
      <c r="G30" s="7"/>
      <c r="H30" s="7"/>
      <c r="I30" s="7"/>
      <c r="J30" s="7"/>
      <c r="K30" s="7"/>
      <c r="L30" s="7"/>
      <c r="M30" s="7"/>
      <c r="N30" s="7"/>
      <c r="O30" s="7"/>
      <c r="P30" s="7"/>
      <c r="Q30" s="7"/>
      <c r="R30" s="7"/>
      <c r="S30" s="7"/>
      <c r="T30" s="7"/>
      <c r="U30" s="7"/>
    </row>
    <row r="31" spans="1:21" x14ac:dyDescent="0.35">
      <c r="A31" s="7"/>
      <c r="B31" s="7"/>
      <c r="C31" s="7"/>
      <c r="D31" s="7"/>
      <c r="E31" s="7"/>
      <c r="F31" s="7"/>
      <c r="G31" s="7"/>
      <c r="H31" s="7"/>
      <c r="I31" s="7"/>
      <c r="J31" s="7"/>
      <c r="K31" s="7"/>
      <c r="L31" s="7"/>
      <c r="M31" s="7"/>
      <c r="N31" s="7"/>
      <c r="O31" s="7"/>
      <c r="P31" s="7"/>
      <c r="Q31" s="7"/>
      <c r="R31" s="7"/>
      <c r="S31" s="7"/>
      <c r="T31" s="7"/>
      <c r="U31" s="7"/>
    </row>
    <row r="32" spans="1:21" x14ac:dyDescent="0.35">
      <c r="A32" s="7"/>
      <c r="B32" s="7"/>
      <c r="C32" s="7"/>
      <c r="D32" s="7"/>
      <c r="E32" s="7"/>
      <c r="F32" s="7"/>
      <c r="G32" s="7"/>
      <c r="H32" s="7"/>
      <c r="I32" s="7"/>
      <c r="J32" s="7"/>
      <c r="K32" s="7"/>
      <c r="L32" s="7"/>
      <c r="M32" s="7"/>
      <c r="N32" s="7"/>
      <c r="O32" s="7"/>
      <c r="P32" s="7"/>
      <c r="Q32" s="7"/>
      <c r="R32" s="7"/>
      <c r="S32" s="7"/>
      <c r="T32" s="7"/>
      <c r="U32" s="7"/>
    </row>
    <row r="33" spans="1:21" x14ac:dyDescent="0.35">
      <c r="A33" s="7"/>
      <c r="B33" s="7"/>
      <c r="C33" s="7"/>
      <c r="D33" s="7"/>
      <c r="E33" s="7"/>
      <c r="F33" s="7"/>
      <c r="G33" s="7"/>
      <c r="H33" s="7"/>
      <c r="I33" s="7"/>
      <c r="J33" s="7"/>
      <c r="K33" s="7"/>
      <c r="L33" s="7"/>
      <c r="M33" s="7"/>
      <c r="N33" s="7"/>
      <c r="O33" s="7"/>
      <c r="P33" s="7"/>
      <c r="Q33" s="7"/>
      <c r="R33" s="7"/>
      <c r="S33" s="7"/>
      <c r="T33" s="7"/>
      <c r="U33" s="7"/>
    </row>
    <row r="34" spans="1:21" x14ac:dyDescent="0.35">
      <c r="A34" s="7"/>
      <c r="B34" s="7"/>
      <c r="C34" s="7"/>
      <c r="D34" s="7"/>
      <c r="E34" s="7"/>
      <c r="F34" s="7"/>
      <c r="G34" s="7"/>
      <c r="H34" s="7"/>
      <c r="I34" s="7"/>
      <c r="J34" s="7"/>
      <c r="K34" s="7"/>
      <c r="L34" s="7"/>
      <c r="M34" s="7"/>
      <c r="N34" s="7"/>
      <c r="O34" s="7"/>
      <c r="P34" s="7"/>
      <c r="Q34" s="7"/>
      <c r="R34" s="7"/>
      <c r="S34" s="7"/>
      <c r="T34" s="7"/>
      <c r="U34" s="7"/>
    </row>
    <row r="35" spans="1:21" x14ac:dyDescent="0.35">
      <c r="A35" s="7"/>
      <c r="B35" s="7"/>
      <c r="C35" s="7"/>
      <c r="D35" s="7"/>
      <c r="E35" s="7"/>
      <c r="F35" s="7"/>
      <c r="G35" s="7"/>
      <c r="H35" s="7"/>
      <c r="I35" s="7"/>
      <c r="J35" s="7"/>
      <c r="K35" s="7"/>
      <c r="L35" s="7"/>
      <c r="M35" s="7"/>
      <c r="N35" s="7"/>
      <c r="O35" s="7"/>
      <c r="P35" s="7"/>
      <c r="Q35" s="7"/>
      <c r="R35" s="7"/>
      <c r="S35" s="7"/>
      <c r="T35" s="7"/>
      <c r="U35" s="7"/>
    </row>
    <row r="36" spans="1:21" x14ac:dyDescent="0.35">
      <c r="A36" s="7"/>
      <c r="B36" s="7"/>
      <c r="C36" s="7"/>
      <c r="D36" s="7"/>
      <c r="E36" s="7"/>
      <c r="F36" s="7"/>
      <c r="G36" s="7"/>
      <c r="H36" s="7"/>
      <c r="I36" s="7"/>
      <c r="J36" s="7"/>
      <c r="K36" s="7"/>
      <c r="L36" s="7"/>
      <c r="M36" s="7"/>
      <c r="N36" s="7"/>
      <c r="O36" s="7"/>
      <c r="P36" s="7"/>
      <c r="Q36" s="7"/>
      <c r="R36" s="7"/>
      <c r="S36" s="7"/>
      <c r="T36" s="7"/>
      <c r="U36" s="7"/>
    </row>
    <row r="37" spans="1:21" x14ac:dyDescent="0.35">
      <c r="A37" s="7"/>
      <c r="B37" s="7"/>
      <c r="C37" s="7"/>
      <c r="D37" s="7"/>
      <c r="E37" s="7"/>
      <c r="F37" s="7"/>
      <c r="G37" s="7"/>
      <c r="H37" s="7"/>
      <c r="I37" s="7"/>
      <c r="J37" s="7"/>
      <c r="K37" s="7"/>
      <c r="L37" s="7"/>
      <c r="M37" s="7"/>
      <c r="N37" s="7"/>
      <c r="O37" s="7"/>
      <c r="P37" s="7"/>
      <c r="Q37" s="7"/>
      <c r="R37" s="7"/>
      <c r="S37" s="7"/>
      <c r="T37" s="7"/>
      <c r="U37" s="7"/>
    </row>
    <row r="38" spans="1:21" x14ac:dyDescent="0.35">
      <c r="A38" s="7"/>
      <c r="B38" s="7"/>
      <c r="C38" s="7"/>
      <c r="D38" s="7"/>
      <c r="E38" s="7"/>
      <c r="F38" s="7"/>
      <c r="G38" s="7"/>
      <c r="H38" s="7"/>
      <c r="I38" s="7"/>
      <c r="J38" s="7"/>
      <c r="K38" s="7"/>
      <c r="L38" s="7"/>
      <c r="M38" s="7"/>
      <c r="N38" s="7"/>
      <c r="O38" s="7"/>
      <c r="P38" s="7"/>
      <c r="Q38" s="7"/>
      <c r="R38" s="7"/>
      <c r="S38" s="7"/>
      <c r="T38" s="7"/>
      <c r="U38" s="7"/>
    </row>
    <row r="39" spans="1:21" x14ac:dyDescent="0.35">
      <c r="A39" s="7"/>
      <c r="B39" s="7"/>
      <c r="C39" s="7"/>
      <c r="D39" s="7"/>
      <c r="E39" s="7"/>
      <c r="F39" s="7"/>
      <c r="G39" s="7"/>
      <c r="H39" s="7"/>
      <c r="I39" s="7"/>
      <c r="J39" s="7"/>
      <c r="K39" s="7"/>
      <c r="L39" s="7"/>
      <c r="M39" s="7"/>
      <c r="N39" s="7"/>
      <c r="O39" s="7"/>
      <c r="P39" s="7"/>
      <c r="Q39" s="7"/>
      <c r="R39" s="7"/>
      <c r="S39" s="7"/>
      <c r="T39" s="7"/>
      <c r="U39" s="7"/>
    </row>
    <row r="40" spans="1:21" x14ac:dyDescent="0.35">
      <c r="A40" s="7"/>
      <c r="B40" s="7"/>
      <c r="C40" s="7"/>
      <c r="D40" s="7"/>
      <c r="E40" s="7"/>
      <c r="F40" s="7"/>
      <c r="G40" s="7"/>
      <c r="H40" s="7"/>
      <c r="I40" s="7"/>
      <c r="J40" s="7"/>
      <c r="K40" s="7"/>
      <c r="L40" s="7"/>
      <c r="M40" s="7"/>
      <c r="N40" s="7"/>
      <c r="O40" s="7"/>
      <c r="P40" s="7"/>
      <c r="Q40" s="7"/>
      <c r="R40" s="7"/>
      <c r="S40" s="7"/>
      <c r="T40" s="7"/>
      <c r="U40" s="7"/>
    </row>
    <row r="41" spans="1:21" x14ac:dyDescent="0.35">
      <c r="A41" s="7"/>
      <c r="B41" s="7"/>
      <c r="C41" s="7"/>
      <c r="D41" s="7"/>
      <c r="E41" s="7"/>
      <c r="F41" s="7"/>
      <c r="G41" s="7"/>
      <c r="H41" s="7"/>
      <c r="I41" s="7"/>
      <c r="J41" s="7"/>
      <c r="K41" s="7"/>
      <c r="L41" s="7"/>
      <c r="M41" s="7"/>
      <c r="N41" s="7"/>
      <c r="O41" s="7"/>
      <c r="P41" s="7"/>
      <c r="Q41" s="7"/>
      <c r="R41" s="7"/>
      <c r="S41" s="7"/>
      <c r="T41" s="7"/>
      <c r="U41" s="7"/>
    </row>
    <row r="42" spans="1:21" x14ac:dyDescent="0.35">
      <c r="A42" s="7"/>
      <c r="B42" s="7"/>
      <c r="C42" s="7"/>
      <c r="D42" s="7"/>
      <c r="E42" s="7"/>
      <c r="F42" s="7"/>
      <c r="G42" s="7"/>
      <c r="H42" s="7"/>
      <c r="I42" s="7"/>
      <c r="J42" s="7"/>
      <c r="K42" s="7"/>
      <c r="L42" s="7"/>
      <c r="M42" s="7"/>
      <c r="N42" s="7"/>
      <c r="O42" s="7"/>
      <c r="P42" s="7"/>
      <c r="Q42" s="7"/>
      <c r="R42" s="7"/>
      <c r="S42" s="7"/>
      <c r="T42" s="7"/>
      <c r="U42" s="7"/>
    </row>
    <row r="43" spans="1:21" x14ac:dyDescent="0.35">
      <c r="A43" s="7"/>
      <c r="B43" s="7"/>
      <c r="C43" s="7"/>
      <c r="D43" s="7"/>
      <c r="E43" s="7"/>
      <c r="F43" s="7"/>
      <c r="G43" s="7"/>
      <c r="H43" s="7"/>
      <c r="I43" s="7"/>
      <c r="J43" s="7"/>
      <c r="K43" s="7"/>
      <c r="L43" s="7"/>
      <c r="M43" s="7"/>
      <c r="N43" s="7"/>
      <c r="O43" s="7"/>
      <c r="P43" s="7"/>
      <c r="Q43" s="7"/>
      <c r="R43" s="7"/>
      <c r="S43" s="7"/>
      <c r="T43" s="7"/>
      <c r="U43" s="7"/>
    </row>
    <row r="44" spans="1:21" x14ac:dyDescent="0.35">
      <c r="A44" s="7"/>
      <c r="B44" s="7"/>
      <c r="C44" s="7"/>
      <c r="D44" s="7"/>
      <c r="E44" s="7"/>
      <c r="F44" s="7"/>
      <c r="G44" s="7"/>
      <c r="H44" s="7"/>
      <c r="I44" s="7"/>
      <c r="J44" s="7"/>
      <c r="K44" s="7"/>
      <c r="L44" s="7"/>
      <c r="M44" s="7"/>
      <c r="N44" s="7"/>
      <c r="O44" s="7"/>
      <c r="P44" s="7"/>
      <c r="Q44" s="7"/>
      <c r="R44" s="7"/>
      <c r="S44" s="7"/>
      <c r="T44" s="7"/>
      <c r="U44" s="7"/>
    </row>
    <row r="45" spans="1:21" x14ac:dyDescent="0.35">
      <c r="A45" s="7"/>
      <c r="B45" s="7"/>
      <c r="C45" s="7"/>
      <c r="D45" s="7"/>
      <c r="E45" s="7"/>
      <c r="F45" s="7"/>
      <c r="G45" s="7"/>
      <c r="H45" s="7"/>
      <c r="I45" s="7"/>
      <c r="J45" s="7"/>
      <c r="K45" s="7"/>
      <c r="L45" s="7"/>
      <c r="M45" s="7"/>
      <c r="N45" s="7"/>
      <c r="O45" s="7"/>
      <c r="P45" s="7"/>
      <c r="Q45" s="7"/>
      <c r="R45" s="7"/>
      <c r="S45" s="7"/>
      <c r="T45" s="7"/>
      <c r="U45" s="7"/>
    </row>
    <row r="46" spans="1:21" x14ac:dyDescent="0.35">
      <c r="A46" s="7"/>
      <c r="B46" s="7"/>
      <c r="C46" s="7"/>
      <c r="D46" s="7"/>
      <c r="E46" s="7"/>
      <c r="F46" s="7"/>
      <c r="G46" s="7"/>
      <c r="H46" s="7"/>
      <c r="I46" s="7"/>
      <c r="J46" s="7"/>
      <c r="K46" s="7"/>
      <c r="L46" s="7"/>
      <c r="M46" s="7"/>
      <c r="N46" s="7"/>
      <c r="O46" s="7"/>
      <c r="P46" s="7"/>
      <c r="Q46" s="7"/>
      <c r="R46" s="7"/>
      <c r="S46" s="7"/>
      <c r="T46" s="7"/>
      <c r="U46" s="7"/>
    </row>
    <row r="47" spans="1:21" x14ac:dyDescent="0.35">
      <c r="A47" s="7"/>
      <c r="B47" s="7"/>
      <c r="C47" s="7"/>
      <c r="D47" s="7"/>
      <c r="E47" s="7"/>
      <c r="F47" s="7"/>
      <c r="G47" s="7"/>
      <c r="H47" s="7"/>
      <c r="I47" s="7"/>
      <c r="J47" s="7"/>
      <c r="K47" s="7"/>
      <c r="L47" s="7"/>
      <c r="M47" s="7"/>
      <c r="N47" s="7"/>
      <c r="O47" s="7"/>
      <c r="P47" s="7"/>
      <c r="Q47" s="7"/>
      <c r="R47" s="7"/>
      <c r="S47" s="7"/>
      <c r="T47" s="7"/>
      <c r="U47" s="7"/>
    </row>
    <row r="48" spans="1:21" x14ac:dyDescent="0.35">
      <c r="A48" s="7"/>
      <c r="B48" s="7"/>
      <c r="C48" s="7"/>
      <c r="D48" s="7"/>
      <c r="E48" s="7"/>
      <c r="F48" s="7"/>
      <c r="G48" s="7"/>
      <c r="H48" s="7"/>
      <c r="I48" s="7"/>
      <c r="J48" s="7"/>
      <c r="K48" s="7"/>
      <c r="L48" s="7"/>
      <c r="M48" s="7"/>
      <c r="N48" s="7"/>
      <c r="O48" s="7"/>
      <c r="P48" s="7"/>
      <c r="Q48" s="7"/>
      <c r="R48" s="7"/>
      <c r="S48" s="7"/>
      <c r="T48" s="7"/>
      <c r="U48" s="7"/>
    </row>
    <row r="49" spans="1:21" x14ac:dyDescent="0.35">
      <c r="A49" s="7"/>
      <c r="B49" s="7"/>
      <c r="C49" s="7"/>
      <c r="D49" s="7"/>
      <c r="E49" s="7"/>
      <c r="F49" s="7"/>
      <c r="G49" s="7"/>
      <c r="H49" s="7"/>
      <c r="I49" s="7"/>
      <c r="J49" s="7"/>
      <c r="K49" s="7"/>
      <c r="L49" s="7"/>
      <c r="M49" s="7"/>
      <c r="N49" s="7"/>
      <c r="O49" s="7"/>
      <c r="P49" s="7"/>
      <c r="Q49" s="7"/>
      <c r="R49" s="7"/>
      <c r="S49" s="7"/>
      <c r="T49" s="7"/>
      <c r="U49" s="7"/>
    </row>
    <row r="50" spans="1:21" x14ac:dyDescent="0.35">
      <c r="A50" s="7"/>
      <c r="B50" s="7"/>
      <c r="C50" s="7"/>
      <c r="D50" s="7"/>
      <c r="E50" s="7"/>
      <c r="F50" s="7"/>
      <c r="G50" s="7"/>
      <c r="H50" s="7"/>
      <c r="I50" s="7"/>
      <c r="J50" s="7"/>
      <c r="K50" s="7"/>
      <c r="L50" s="7"/>
      <c r="M50" s="7"/>
      <c r="N50" s="7"/>
      <c r="O50" s="7"/>
      <c r="P50" s="7"/>
      <c r="Q50" s="7"/>
      <c r="R50" s="7"/>
      <c r="S50" s="7"/>
      <c r="T50" s="7"/>
      <c r="U50" s="7"/>
    </row>
    <row r="51" spans="1:21" x14ac:dyDescent="0.35">
      <c r="A51" s="7"/>
      <c r="B51" s="7"/>
      <c r="C51" s="7"/>
      <c r="D51" s="7"/>
      <c r="E51" s="7"/>
      <c r="F51" s="7"/>
      <c r="G51" s="7"/>
      <c r="H51" s="7"/>
      <c r="I51" s="7"/>
      <c r="J51" s="7"/>
      <c r="K51" s="7"/>
      <c r="L51" s="7"/>
      <c r="M51" s="7"/>
      <c r="N51" s="7"/>
      <c r="O51" s="7"/>
      <c r="P51" s="7"/>
      <c r="Q51" s="7"/>
      <c r="R51" s="7"/>
      <c r="S51" s="7"/>
      <c r="T51" s="7"/>
      <c r="U51" s="7"/>
    </row>
    <row r="52" spans="1:21" x14ac:dyDescent="0.35">
      <c r="A52" s="7"/>
      <c r="B52" s="7"/>
      <c r="C52" s="7"/>
      <c r="D52" s="7"/>
      <c r="E52" s="7"/>
      <c r="F52" s="7"/>
      <c r="G52" s="7"/>
      <c r="H52" s="7"/>
      <c r="I52" s="7"/>
      <c r="J52" s="7"/>
      <c r="K52" s="7"/>
      <c r="L52" s="7"/>
      <c r="M52" s="7"/>
      <c r="N52" s="7"/>
      <c r="O52" s="7"/>
      <c r="P52" s="7"/>
      <c r="Q52" s="7"/>
      <c r="R52" s="7"/>
      <c r="S52" s="7"/>
      <c r="T52" s="7"/>
      <c r="U52" s="7"/>
    </row>
    <row r="53" spans="1:21" x14ac:dyDescent="0.35">
      <c r="A53" s="7"/>
      <c r="B53" s="7"/>
      <c r="C53" s="7"/>
      <c r="D53" s="7"/>
      <c r="E53" s="7"/>
      <c r="F53" s="7"/>
      <c r="G53" s="7"/>
      <c r="H53" s="7"/>
      <c r="I53" s="7"/>
      <c r="J53" s="7"/>
      <c r="K53" s="7"/>
      <c r="L53" s="7"/>
      <c r="M53" s="7"/>
      <c r="N53" s="7"/>
      <c r="O53" s="7"/>
      <c r="P53" s="7"/>
      <c r="Q53" s="7"/>
      <c r="R53" s="7"/>
      <c r="S53" s="7"/>
      <c r="T53" s="7"/>
      <c r="U53" s="7"/>
    </row>
    <row r="54" spans="1:21" x14ac:dyDescent="0.35">
      <c r="A54" s="7"/>
      <c r="B54" s="7"/>
      <c r="C54" s="7"/>
      <c r="D54" s="7"/>
      <c r="E54" s="7"/>
      <c r="F54" s="7"/>
      <c r="G54" s="7"/>
      <c r="H54" s="7"/>
      <c r="I54" s="7"/>
      <c r="J54" s="7"/>
      <c r="K54" s="7"/>
      <c r="L54" s="7"/>
      <c r="M54" s="7"/>
      <c r="N54" s="7"/>
      <c r="O54" s="7"/>
      <c r="P54" s="7"/>
      <c r="Q54" s="7"/>
      <c r="R54" s="7"/>
      <c r="S54" s="7"/>
      <c r="T54" s="7"/>
      <c r="U54" s="7"/>
    </row>
    <row r="55" spans="1:21" x14ac:dyDescent="0.35">
      <c r="A55" s="7"/>
      <c r="B55" s="7"/>
      <c r="C55" s="7"/>
      <c r="D55" s="7"/>
      <c r="E55" s="7"/>
      <c r="F55" s="7"/>
      <c r="G55" s="7"/>
      <c r="H55" s="7"/>
      <c r="I55" s="7"/>
      <c r="J55" s="7"/>
      <c r="K55" s="7"/>
      <c r="L55" s="7"/>
      <c r="M55" s="7"/>
      <c r="N55" s="7"/>
      <c r="O55" s="7"/>
      <c r="P55" s="7"/>
      <c r="Q55" s="7"/>
      <c r="R55" s="7"/>
      <c r="S55" s="7"/>
      <c r="T55" s="7"/>
      <c r="U55" s="7"/>
    </row>
    <row r="56" spans="1:21" x14ac:dyDescent="0.35">
      <c r="A56" s="7"/>
      <c r="B56" s="7"/>
      <c r="C56" s="7"/>
      <c r="D56" s="7"/>
      <c r="E56" s="7"/>
      <c r="F56" s="7"/>
      <c r="G56" s="7"/>
      <c r="H56" s="7"/>
      <c r="I56" s="7"/>
      <c r="J56" s="7"/>
      <c r="K56" s="7"/>
      <c r="L56" s="7"/>
      <c r="M56" s="7"/>
      <c r="N56" s="7"/>
      <c r="O56" s="7"/>
      <c r="P56" s="7"/>
      <c r="Q56" s="7"/>
      <c r="R56" s="7"/>
      <c r="S56" s="7"/>
      <c r="T56" s="7"/>
      <c r="U56" s="7"/>
    </row>
    <row r="57" spans="1:21" x14ac:dyDescent="0.35">
      <c r="A57" s="7"/>
      <c r="B57" s="7"/>
      <c r="C57" s="7"/>
      <c r="D57" s="7"/>
      <c r="E57" s="7"/>
      <c r="F57" s="7"/>
      <c r="G57" s="7"/>
      <c r="H57" s="7"/>
      <c r="I57" s="7"/>
      <c r="J57" s="7"/>
      <c r="K57" s="7"/>
      <c r="L57" s="7"/>
      <c r="M57" s="7"/>
      <c r="N57" s="7"/>
      <c r="O57" s="7"/>
      <c r="P57" s="7"/>
      <c r="Q57" s="7"/>
      <c r="R57" s="7"/>
      <c r="S57" s="7"/>
      <c r="T57" s="7"/>
      <c r="U57" s="7"/>
    </row>
    <row r="58" spans="1:21" x14ac:dyDescent="0.35">
      <c r="A58" s="7"/>
      <c r="B58" s="7"/>
      <c r="C58" s="7"/>
      <c r="D58" s="7"/>
      <c r="E58" s="7"/>
      <c r="F58" s="7"/>
      <c r="G58" s="7"/>
      <c r="H58" s="7"/>
      <c r="I58" s="7"/>
      <c r="J58" s="7"/>
      <c r="K58" s="7"/>
      <c r="L58" s="7"/>
      <c r="M58" s="7"/>
      <c r="N58" s="7"/>
      <c r="O58" s="7"/>
      <c r="P58" s="7"/>
      <c r="Q58" s="7"/>
      <c r="R58" s="7"/>
      <c r="S58" s="7"/>
      <c r="T58" s="7"/>
      <c r="U58" s="7"/>
    </row>
    <row r="59" spans="1:21" x14ac:dyDescent="0.35">
      <c r="A59" s="7"/>
      <c r="B59" s="7"/>
      <c r="C59" s="7"/>
      <c r="D59" s="7"/>
      <c r="E59" s="7"/>
      <c r="F59" s="7"/>
      <c r="G59" s="7"/>
      <c r="H59" s="7"/>
      <c r="I59" s="7"/>
      <c r="J59" s="7"/>
      <c r="K59" s="7"/>
      <c r="L59" s="7"/>
      <c r="M59" s="7"/>
      <c r="N59" s="7"/>
      <c r="O59" s="7"/>
      <c r="P59" s="7"/>
      <c r="Q59" s="7"/>
      <c r="R59" s="7"/>
      <c r="S59" s="7"/>
      <c r="T59" s="7"/>
      <c r="U59" s="7"/>
    </row>
    <row r="60" spans="1:21" x14ac:dyDescent="0.35">
      <c r="A60" s="7"/>
      <c r="B60" s="7"/>
      <c r="C60" s="7"/>
      <c r="D60" s="7"/>
      <c r="E60" s="7"/>
      <c r="F60" s="7"/>
      <c r="G60" s="7"/>
      <c r="H60" s="7"/>
      <c r="I60" s="7"/>
      <c r="J60" s="7"/>
      <c r="K60" s="7"/>
      <c r="L60" s="7"/>
      <c r="M60" s="7"/>
      <c r="N60" s="7"/>
      <c r="O60" s="7"/>
      <c r="P60" s="7"/>
      <c r="Q60" s="7"/>
      <c r="R60" s="7"/>
      <c r="S60" s="7"/>
      <c r="T60" s="7"/>
      <c r="U60" s="7"/>
    </row>
    <row r="61" spans="1:21" x14ac:dyDescent="0.35">
      <c r="A61" s="7"/>
      <c r="B61" s="7"/>
      <c r="C61" s="7"/>
      <c r="D61" s="7"/>
      <c r="E61" s="7"/>
      <c r="F61" s="7"/>
      <c r="G61" s="7"/>
      <c r="H61" s="7"/>
      <c r="I61" s="7"/>
      <c r="J61" s="7"/>
      <c r="K61" s="7"/>
      <c r="L61" s="7"/>
      <c r="M61" s="7"/>
      <c r="N61" s="7"/>
      <c r="O61" s="7"/>
      <c r="P61" s="7"/>
      <c r="Q61" s="7"/>
      <c r="R61" s="7"/>
      <c r="S61" s="7"/>
      <c r="T61" s="7"/>
      <c r="U61" s="7"/>
    </row>
    <row r="62" spans="1:21" x14ac:dyDescent="0.35">
      <c r="A62" s="7"/>
      <c r="B62" s="7"/>
      <c r="C62" s="7"/>
      <c r="D62" s="7"/>
      <c r="E62" s="7"/>
      <c r="F62" s="7"/>
      <c r="G62" s="7"/>
      <c r="H62" s="7"/>
      <c r="I62" s="7"/>
      <c r="J62" s="7"/>
      <c r="K62" s="7"/>
      <c r="L62" s="7"/>
      <c r="M62" s="7"/>
      <c r="N62" s="7"/>
      <c r="O62" s="7"/>
      <c r="P62" s="7"/>
      <c r="Q62" s="7"/>
      <c r="R62" s="7"/>
      <c r="S62" s="7"/>
      <c r="T62" s="7"/>
      <c r="U62" s="7"/>
    </row>
    <row r="63" spans="1:21" x14ac:dyDescent="0.35">
      <c r="A63" s="7"/>
      <c r="B63" s="7"/>
      <c r="C63" s="7"/>
      <c r="D63" s="7"/>
      <c r="E63" s="7"/>
      <c r="F63" s="7"/>
      <c r="G63" s="7"/>
      <c r="H63" s="7"/>
      <c r="I63" s="7"/>
      <c r="J63" s="7"/>
      <c r="K63" s="7"/>
      <c r="L63" s="7"/>
      <c r="M63" s="7"/>
      <c r="N63" s="7"/>
      <c r="O63" s="7"/>
      <c r="P63" s="7"/>
      <c r="Q63" s="7"/>
      <c r="R63" s="7"/>
      <c r="S63" s="7"/>
      <c r="T63" s="7"/>
      <c r="U63" s="7"/>
    </row>
    <row r="64" spans="1:21" x14ac:dyDescent="0.35">
      <c r="A64" s="7"/>
      <c r="B64" s="7"/>
      <c r="C64" s="7"/>
      <c r="D64" s="7"/>
      <c r="E64" s="7"/>
      <c r="F64" s="7"/>
      <c r="G64" s="7"/>
      <c r="H64" s="7"/>
      <c r="I64" s="7"/>
      <c r="J64" s="7"/>
      <c r="K64" s="7"/>
      <c r="L64" s="7"/>
      <c r="M64" s="7"/>
      <c r="N64" s="7"/>
      <c r="O64" s="7"/>
      <c r="P64" s="7"/>
      <c r="Q64" s="7"/>
      <c r="R64" s="7"/>
      <c r="S64" s="7"/>
      <c r="T64" s="7"/>
      <c r="U64"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 data</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fatuma ahmeed adan</dc:creator>
  <cp:lastModifiedBy>fatuma ahmeed adan</cp:lastModifiedBy>
  <dcterms:created xsi:type="dcterms:W3CDTF">2026-10-18T17:32:02Z</dcterms:created>
  <dcterms:modified xsi:type="dcterms:W3CDTF">2026-10-22T16:39:08Z</dcterms:modified>
</cp:coreProperties>
</file>